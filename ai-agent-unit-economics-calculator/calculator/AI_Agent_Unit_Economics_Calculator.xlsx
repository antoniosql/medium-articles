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8a653c335841bf" /></Relationships>
</file>

<file path=xl/workbook.xml><?xml version="1.0" encoding="utf-8"?>
<x:workbook xmlns:x="http://schemas.openxmlformats.org/spreadsheetml/2006/main">
  <x:sheets>
    <x:sheet xmlns:r="http://schemas.openxmlformats.org/officeDocument/2006/relationships" name="Scenario Inputs" sheetId="1" r:id="R78d74b24bda54637"/>
    <x:sheet xmlns:r="http://schemas.openxmlformats.org/officeDocument/2006/relationships" name="Calculations" sheetId="2" r:id="Rf6d928e0bfe644df"/>
    <x:sheet xmlns:r="http://schemas.openxmlformats.org/officeDocument/2006/relationships" name="Dashboard" sheetId="3" r:id="Rc96e57187d2f4b44"/>
    <x:sheet xmlns:r="http://schemas.openxmlformats.org/officeDocument/2006/relationships" name="Sensitivity" sheetId="4" r:id="R895a701164e04d46"/>
    <x:sheet xmlns:r="http://schemas.openxmlformats.org/officeDocument/2006/relationships" name="Methodology" sheetId="5" r:id="R8267a1ac73774f7f"/>
    <x:sheet xmlns:r="http://schemas.openxmlformats.org/officeDocument/2006/relationships" name="Sources" sheetId="6" r:id="R09d1afc9c011499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Red](#,##0);-"/>
    <x:numFmt numFmtId="201" formatCode="€#,##0.00;[Red](€#,##0.00);-"/>
    <x:numFmt numFmtId="202" formatCode="#,##0.0;[Red](#,##0.0);-"/>
    <x:numFmt numFmtId="203" formatCode="0.0%;[Red](0.0%);-"/>
    <x:numFmt numFmtId="204" formatCode="€#,##0;[Red](€#,##0);-"/>
    <x:numFmt numFmtId="205" formatCode="0.00;[Red](0.00);-"/>
  </x:numFmts>
  <x:fonts count="17">
    <x:font>
      <x:sz val="11"/>
      <x:name val="Carlito"/>
    </x:font>
    <x:font>
      <x:b/>
      <x:sz val="20"/>
      <x:color rgb="FFFFFFFF"/>
      <x:name val="Carlito"/>
    </x:font>
    <x:font>
      <x:b/>
      <x:sz val="11"/>
      <x:color rgb="FFFFFFFF"/>
      <x:name val="Carlito"/>
    </x:font>
    <x:font>
      <x:b/>
      <x:sz val="10"/>
      <x:color rgb="FFFFFFFF"/>
      <x:name val="Carlito"/>
    </x:font>
    <x:font>
      <x:b/>
      <x:sz val="11"/>
      <x:color rgb="FF0B1F3A"/>
      <x:name val="Carlito"/>
    </x:font>
    <x:font>
      <x:sz val="11"/>
      <x:color rgb="FF0000FF"/>
      <x:name val="Carlito"/>
    </x:font>
    <x:font>
      <x:sz val="11"/>
      <x:color rgb="FF334155"/>
      <x:name val="Carlito"/>
    </x:font>
    <x:font>
      <x:i/>
      <x:sz val="9"/>
      <x:color rgb="FF334155"/>
      <x:name val="Carlito"/>
    </x:font>
    <x:font>
      <x:i/>
      <x:sz val="11"/>
      <x:color rgb="FF0B1F3A"/>
      <x:name val="Carlito"/>
    </x:font>
    <x:font>
      <x:sz val="11"/>
      <x:color rgb="FF0B1F3A"/>
      <x:name val="Carlito"/>
    </x:font>
    <x:font>
      <x:sz val="11"/>
      <x:color rgb="FF008000"/>
      <x:name val="Carlito"/>
    </x:font>
    <x:font>
      <x:sz val="11"/>
      <x:color rgb="FF000000"/>
      <x:name val="Carlito"/>
    </x:font>
    <x:font>
      <x:b/>
      <x:sz val="11"/>
      <x:color rgb="FF000000"/>
      <x:name val="Carlito"/>
    </x:font>
    <x:font>
      <x:b/>
      <x:sz val="11"/>
      <x:color rgb="FF334155"/>
      <x:name val="Carlito"/>
    </x:font>
    <x:font>
      <x:b/>
      <x:sz val="11"/>
      <x:color rgb="FF008000"/>
      <x:name val="Carlito"/>
    </x:font>
    <x:font>
      <x:b/>
      <x:sz val="11"/>
      <x:color rgb="FF0B5FFF"/>
      <x:name val="Carlito"/>
    </x:font>
    <x:font>
      <x:sz val="11"/>
      <x:color rgb="FF0B5FFF"/>
      <x:name val="Carlito"/>
    </x:font>
  </x:fonts>
  <x:fills count="11">
    <x:fill>
      <x:patternFill patternType="none"/>
    </x:fill>
    <x:fill>
      <x:patternFill patternType="gray125"/>
    </x:fill>
    <x:fill>
      <x:patternFill patternType="solid">
        <x:fgColor rgb="FF0B1F3A"/>
      </x:patternFill>
    </x:fill>
    <x:fill>
      <x:patternFill patternType="solid">
        <x:fgColor rgb="FF0B5FFF"/>
      </x:patternFill>
    </x:fill>
    <x:fill>
      <x:patternFill patternType="solid">
        <x:fgColor rgb="FFFFF7CC"/>
      </x:patternFill>
    </x:fill>
    <x:fill>
      <x:patternFill patternType="solid">
        <x:fgColor rgb="FFF4F6F8"/>
      </x:patternFill>
    </x:fill>
    <x:fill>
      <x:patternFill patternType="solid">
        <x:fgColor rgb="FFE9F8F8"/>
      </x:patternFill>
    </x:fill>
    <x:fill>
      <x:patternFill patternType="solid">
        <x:fgColor rgb="FFEAF2FF"/>
      </x:patternFill>
    </x:fill>
    <x:fill>
      <x:patternFill patternType="solid">
        <x:fgColor rgb="FFE8F5E9"/>
      </x:patternFill>
    </x:fill>
    <x:fill>
      <x:patternFill patternType="solid">
        <x:fgColor rgb="FFFDECEC"/>
      </x:patternFill>
    </x:fill>
    <x:fill>
      <x:patternFill patternType="solid">
        <x:fgColor rgb="FFF1EEFF"/>
      </x:patternFill>
    </x:fill>
  </x:fills>
  <x:borders count="32">
    <x:border/>
    <x:border/>
    <x:border>
      <x:left/>
      <x:right/>
      <x:top/>
    </x:border>
    <x:border>
      <x:left/>
      <x:right/>
    </x:border>
    <x:border>
      <x:left/>
      <x:right/>
      <x:bottom/>
    </x:border>
    <x:border>
      <x:left/>
      <x:right/>
      <x:top/>
    </x:border>
    <x:border>
      <x:left/>
      <x:right/>
    </x:border>
    <x:border>
      <x:left/>
      <x:right/>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ttom/>
    </x:border>
    <x:border>
      <x:left/>
      <x:top/>
      <x:bottom/>
    </x:border>
    <x:border>
      <x:top/>
      <x:bottom/>
    </x:border>
    <x:border>
      <x:right/>
      <x:top/>
      <x:bottom/>
    </x:border>
    <x:border>
      <x:left/>
      <x:right/>
      <x:top/>
      <x:bottom/>
    </x:border>
    <x:border>
      <x:left/>
      <x:top/>
      <x:bottom/>
    </x:border>
    <x:border>
      <x:top/>
      <x:bottom/>
    </x:border>
    <x:border>
      <x:right/>
      <x:top/>
      <x:bottom/>
    </x:border>
  </x:borders>
  <x:cellStyleXfs count="1">
    <x:xf numFmtId="0" fontId="0" fillId="0" borderId="0"/>
  </x:cellStyleXfs>
  <x:cellXfs count="8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horizontal="center" wrapText="1"/>
    </x:xf>
    <x:xf numFmtId="0" fontId="3" fillId="3"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2" xfId="0" applyNumberFormat="1" applyFont="1" applyFill="1" applyBorder="1"/>
    <x:xf numFmtId="0" fontId="5" fillId="4" borderId="3" xfId="0" applyNumberFormat="1" applyFont="1" applyFill="1" applyBorder="1"/>
    <x:xf numFmtId="0" fontId="5" fillId="4" borderId="4" xfId="0" applyNumberFormat="1" applyFont="1" applyFill="1" applyBorder="1"/>
    <x:xf numFmtId="0" fontId="5" fillId="4" borderId="2" xfId="0" applyNumberFormat="1" applyFont="1" applyFill="1" applyBorder="1" applyAlignment="1">
      <x:alignment horizontal="right"/>
    </x:xf>
    <x:xf numFmtId="0" fontId="5" fillId="4" borderId="3" xfId="0" applyNumberFormat="1" applyFont="1" applyFill="1" applyBorder="1" applyAlignment="1">
      <x:alignment horizontal="right"/>
    </x:xf>
    <x:xf numFmtId="0" fontId="5" fillId="4" borderId="4" xfId="0" applyNumberFormat="1" applyFont="1" applyFill="1" applyBorder="1" applyAlignment="1">
      <x:alignment horizontal="right"/>
    </x:xf>
    <x:xf numFmtId="0" fontId="0" fillId="4" borderId="1" xfId="0" applyNumberFormat="1" applyFont="1" applyFill="1" applyBorder="1"/>
    <x:xf numFmtId="0" fontId="5" fillId="4" borderId="1" xfId="0" applyNumberFormat="1" applyFont="1" applyFill="1" applyBorder="1"/>
    <x:xf numFmtId="0" fontId="5" fillId="4" borderId="5"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5" fillId="4" borderId="5" xfId="0" applyNumberFormat="1" applyFont="1" applyFill="1" applyBorder="1" applyAlignment="1">
      <x:alignment horizontal="right"/>
    </x:xf>
    <x:xf numFmtId="0" fontId="5" fillId="4" borderId="6" xfId="0" applyNumberFormat="1" applyFont="1" applyFill="1" applyBorder="1" applyAlignment="1">
      <x:alignment horizontal="right"/>
    </x:xf>
    <x:xf numFmtId="0" fontId="5" fillId="4" borderId="7" xfId="0" applyNumberFormat="1" applyFont="1" applyFill="1" applyBorder="1" applyAlignment="1">
      <x:alignment horizontal="right"/>
    </x:xf>
    <x:xf numFmtId="0" fontId="6" fillId="0" borderId="0" xfId="0" applyNumberFormat="1" applyFont="1" applyFill="1" applyBorder="1"/>
    <x:xf numFmtId="0" fontId="6" fillId="0" borderId="0" xfId="0" applyNumberFormat="1" applyFont="1" applyFill="1" applyBorder="1" applyAlignment="1">
      <x:alignment horizontal="center"/>
    </x:xf>
    <x:xf numFmtId="0" fontId="6" fillId="0" borderId="1" xfId="0" applyNumberFormat="1" applyFont="1" applyFill="1" applyBorder="1"/>
    <x:xf numFmtId="0" fontId="6" fillId="0" borderId="1" xfId="0" applyNumberFormat="1" applyFont="1" applyFill="1" applyBorder="1" applyAlignment="1">
      <x:alignment horizont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0" fillId="5" borderId="1"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4" fillId="0" borderId="8" xfId="0" applyNumberFormat="1" applyFont="1" applyFill="1" applyBorder="1"/>
    <x:xf numFmtId="0" fontId="6" fillId="0" borderId="9" xfId="0" applyNumberFormat="1" applyFont="1" applyFill="1" applyBorder="1" applyAlignment="1">
      <x:alignment horizontal="center"/>
    </x:xf>
    <x:xf numFmtId="0" fontId="7" fillId="5" borderId="10" xfId="0" applyNumberFormat="1" applyFont="1" applyFill="1" applyBorder="1" applyAlignment="1">
      <x:alignment vertical="top" wrapText="1"/>
    </x:xf>
    <x:xf numFmtId="0" fontId="4" fillId="0" borderId="11" xfId="0" applyNumberFormat="1" applyFont="1" applyFill="1" applyBorder="1"/>
    <x:xf numFmtId="0" fontId="7" fillId="5" borderId="12" xfId="0" applyNumberFormat="1" applyFont="1" applyFill="1" applyBorder="1" applyAlignment="1">
      <x:alignment vertical="top" wrapText="1"/>
    </x:xf>
    <x:xf numFmtId="0" fontId="4" fillId="0" borderId="13" xfId="0" applyNumberFormat="1" applyFont="1" applyFill="1" applyBorder="1"/>
    <x:xf numFmtId="0" fontId="6" fillId="0" borderId="14" xfId="0" applyNumberFormat="1" applyFont="1" applyFill="1" applyBorder="1" applyAlignment="1">
      <x:alignment horizontal="center"/>
    </x:xf>
    <x:xf numFmtId="0" fontId="7" fillId="5" borderId="15" xfId="0" applyNumberFormat="1" applyFont="1" applyFill="1" applyBorder="1" applyAlignment="1">
      <x:alignment vertical="top" wrapText="1"/>
    </x:xf>
    <x:xf numFmtId="0" fontId="4" fillId="0" borderId="16" xfId="0" applyNumberFormat="1" applyFont="1" applyFill="1" applyBorder="1"/>
    <x:xf numFmtId="0" fontId="6" fillId="0" borderId="17" xfId="0" applyNumberFormat="1" applyFont="1" applyFill="1" applyBorder="1" applyAlignment="1">
      <x:alignment horizontal="center"/>
    </x:xf>
    <x:xf numFmtId="0" fontId="7" fillId="5" borderId="18" xfId="0" applyNumberFormat="1" applyFont="1" applyFill="1" applyBorder="1" applyAlignment="1">
      <x:alignment vertical="top" wrapText="1"/>
    </x:xf>
    <x:xf numFmtId="0" fontId="4" fillId="0" borderId="19" xfId="0" applyNumberFormat="1" applyFont="1" applyFill="1" applyBorder="1"/>
    <x:xf numFmtId="0" fontId="7" fillId="5" borderId="20" xfId="0" applyNumberFormat="1" applyFont="1" applyFill="1" applyBorder="1" applyAlignment="1">
      <x:alignment vertical="top" wrapText="1"/>
    </x:xf>
    <x:xf numFmtId="0" fontId="4" fillId="0" borderId="21" xfId="0" applyNumberFormat="1" applyFont="1" applyFill="1" applyBorder="1"/>
    <x:xf numFmtId="0" fontId="6" fillId="0" borderId="22" xfId="0" applyNumberFormat="1" applyFont="1" applyFill="1" applyBorder="1" applyAlignment="1">
      <x:alignment horizontal="center"/>
    </x:xf>
    <x:xf numFmtId="0" fontId="7" fillId="5" borderId="23" xfId="0" applyNumberFormat="1" applyFont="1" applyFill="1" applyBorder="1" applyAlignment="1">
      <x:alignment vertical="top" wrapText="1"/>
    </x:xf>
    <x:xf numFmtId="200" fontId="5" fillId="4" borderId="2" xfId="0" applyNumberFormat="1" applyFont="1" applyFill="1" applyBorder="1" applyAlignment="1">
      <x:alignment horizontal="right"/>
    </x:xf>
    <x:xf numFmtId="200" fontId="5" fillId="4" borderId="5" xfId="0" applyNumberFormat="1" applyFont="1" applyFill="1" applyBorder="1" applyAlignment="1">
      <x:alignment horizontal="right"/>
    </x:xf>
    <x:xf numFmtId="201" fontId="5" fillId="4" borderId="3" xfId="0" applyNumberFormat="1" applyFont="1" applyFill="1" applyBorder="1" applyAlignment="1">
      <x:alignment horizontal="right"/>
    </x:xf>
    <x:xf numFmtId="201" fontId="5" fillId="4" borderId="6" xfId="0" applyNumberFormat="1" applyFont="1" applyFill="1" applyBorder="1" applyAlignment="1">
      <x:alignment horizontal="right"/>
    </x:xf>
    <x:xf numFmtId="202" fontId="5" fillId="4" borderId="3" xfId="0" applyNumberFormat="1" applyFont="1" applyFill="1" applyBorder="1" applyAlignment="1">
      <x:alignment horizontal="right"/>
    </x:xf>
    <x:xf numFmtId="202" fontId="5" fillId="4" borderId="6" xfId="0" applyNumberFormat="1" applyFont="1" applyFill="1" applyBorder="1" applyAlignment="1">
      <x:alignment horizontal="right"/>
    </x:xf>
    <x:xf numFmtId="203" fontId="5" fillId="4" borderId="3" xfId="0" applyNumberFormat="1" applyFont="1" applyFill="1" applyBorder="1" applyAlignment="1">
      <x:alignment horizontal="right"/>
    </x:xf>
    <x:xf numFmtId="203" fontId="5" fillId="4" borderId="6" xfId="0" applyNumberFormat="1" applyFont="1" applyFill="1" applyBorder="1" applyAlignment="1">
      <x:alignment horizontal="right"/>
    </x:xf>
    <x:xf numFmtId="201" fontId="5" fillId="4" borderId="4" xfId="0" applyNumberFormat="1" applyFont="1" applyFill="1" applyBorder="1" applyAlignment="1">
      <x:alignment horizontal="right"/>
    </x:xf>
    <x:xf numFmtId="201" fontId="5" fillId="4" borderId="7" xfId="0" applyNumberFormat="1" applyFont="1" applyFill="1" applyBorder="1" applyAlignment="1">
      <x:alignment horizontal="right"/>
    </x:xf>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1" xfId="0" applyNumberFormat="1" applyFont="1" applyFill="1" applyBorder="1"/>
    <x:xf numFmtId="0" fontId="6" fillId="5" borderId="1" xfId="0" applyNumberFormat="1" applyFont="1" applyFill="1" applyBorder="1" applyAlignment="1">
      <x:alignment horizontal="center"/>
    </x:xf>
    <x:xf numFmtId="0" fontId="5" fillId="4" borderId="8"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11" xfId="0" applyNumberFormat="1" applyFont="1" applyFill="1" applyBorder="1"/>
    <x:xf numFmtId="0" fontId="5" fillId="4" borderId="12" xfId="0" applyNumberFormat="1" applyFont="1" applyFill="1" applyBorder="1"/>
    <x:xf numFmtId="0" fontId="5" fillId="4" borderId="13" xfId="0" applyNumberFormat="1" applyFont="1" applyFill="1" applyBorder="1"/>
    <x:xf numFmtId="0" fontId="5" fillId="4" borderId="14" xfId="0" applyNumberFormat="1" applyFont="1" applyFill="1" applyBorder="1"/>
    <x:xf numFmtId="0" fontId="5" fillId="4" borderId="15" xfId="0" applyNumberFormat="1" applyFont="1" applyFill="1" applyBorder="1"/>
    <x:xf numFmtId="0" fontId="5" fillId="4" borderId="8" xfId="0" applyNumberFormat="1" applyFont="1" applyFill="1" applyBorder="1" applyAlignment="1">
      <x:alignment horizontal="right"/>
    </x:xf>
    <x:xf numFmtId="0" fontId="5" fillId="4" borderId="9" xfId="0" applyNumberFormat="1" applyFont="1" applyFill="1" applyBorder="1" applyAlignment="1">
      <x:alignment horizontal="right"/>
    </x:xf>
    <x:xf numFmtId="0" fontId="5" fillId="4" borderId="10" xfId="0" applyNumberFormat="1" applyFont="1" applyFill="1" applyBorder="1" applyAlignment="1">
      <x:alignment horizontal="right"/>
    </x:xf>
    <x:xf numFmtId="0" fontId="5" fillId="4" borderId="11" xfId="0" applyNumberFormat="1" applyFont="1" applyFill="1" applyBorder="1" applyAlignment="1">
      <x:alignment horizontal="right"/>
    </x:xf>
    <x:xf numFmtId="0" fontId="5" fillId="4" borderId="0" xfId="0" applyNumberFormat="1" applyFont="1" applyFill="1" applyBorder="1" applyAlignment="1">
      <x:alignment horizontal="right"/>
    </x:xf>
    <x:xf numFmtId="0" fontId="5" fillId="4" borderId="12" xfId="0" applyNumberFormat="1" applyFont="1" applyFill="1" applyBorder="1" applyAlignment="1">
      <x:alignment horizontal="right"/>
    </x:xf>
    <x:xf numFmtId="0" fontId="5" fillId="4" borderId="13" xfId="0" applyNumberFormat="1" applyFont="1" applyFill="1" applyBorder="1" applyAlignment="1">
      <x:alignment horizontal="right"/>
    </x:xf>
    <x:xf numFmtId="0" fontId="5" fillId="4" borderId="14" xfId="0" applyNumberFormat="1" applyFont="1" applyFill="1" applyBorder="1" applyAlignment="1">
      <x:alignment horizontal="right"/>
    </x:xf>
    <x:xf numFmtId="0" fontId="5" fillId="4" borderId="15" xfId="0" applyNumberFormat="1" applyFont="1" applyFill="1" applyBorder="1" applyAlignment="1">
      <x:alignment horizontal="right"/>
    </x:xf>
    <x:xf numFmtId="0" fontId="5" fillId="4" borderId="16" xfId="0" applyNumberFormat="1" applyFont="1" applyFill="1" applyBorder="1"/>
    <x:xf numFmtId="0" fontId="5" fillId="4" borderId="17" xfId="0" applyNumberFormat="1" applyFont="1" applyFill="1" applyBorder="1"/>
    <x:xf numFmtId="0" fontId="5" fillId="4" borderId="18" xfId="0" applyNumberFormat="1" applyFont="1" applyFill="1" applyBorder="1"/>
    <x:xf numFmtId="0" fontId="5" fillId="4" borderId="19" xfId="0" applyNumberFormat="1" applyFont="1" applyFill="1" applyBorder="1"/>
    <x:xf numFmtId="0" fontId="5" fillId="4" borderId="20" xfId="0" applyNumberFormat="1" applyFont="1" applyFill="1" applyBorder="1"/>
    <x:xf numFmtId="0" fontId="5" fillId="4" borderId="21" xfId="0" applyNumberFormat="1" applyFont="1" applyFill="1" applyBorder="1"/>
    <x:xf numFmtId="0" fontId="5" fillId="4" borderId="22" xfId="0" applyNumberFormat="1" applyFont="1" applyFill="1" applyBorder="1"/>
    <x:xf numFmtId="0" fontId="5" fillId="4" borderId="23" xfId="0" applyNumberFormat="1" applyFont="1" applyFill="1" applyBorder="1"/>
    <x:xf numFmtId="0" fontId="5" fillId="4" borderId="16" xfId="0" applyNumberFormat="1" applyFont="1" applyFill="1" applyBorder="1" applyAlignment="1">
      <x:alignment horizontal="right"/>
    </x:xf>
    <x:xf numFmtId="0" fontId="5" fillId="4" borderId="17" xfId="0" applyNumberFormat="1" applyFont="1" applyFill="1" applyBorder="1" applyAlignment="1">
      <x:alignment horizontal="right"/>
    </x:xf>
    <x:xf numFmtId="0" fontId="5" fillId="4" borderId="18" xfId="0" applyNumberFormat="1" applyFont="1" applyFill="1" applyBorder="1" applyAlignment="1">
      <x:alignment horizontal="right"/>
    </x:xf>
    <x:xf numFmtId="0" fontId="5" fillId="4" borderId="19" xfId="0" applyNumberFormat="1" applyFont="1" applyFill="1" applyBorder="1" applyAlignment="1">
      <x:alignment horizontal="right"/>
    </x:xf>
    <x:xf numFmtId="0" fontId="5" fillId="4" borderId="1" xfId="0" applyNumberFormat="1" applyFont="1" applyFill="1" applyBorder="1" applyAlignment="1">
      <x:alignment horizontal="right"/>
    </x:xf>
    <x:xf numFmtId="0" fontId="5" fillId="4" borderId="20" xfId="0" applyNumberFormat="1" applyFont="1" applyFill="1" applyBorder="1" applyAlignment="1">
      <x:alignment horizontal="right"/>
    </x:xf>
    <x:xf numFmtId="0" fontId="5" fillId="4" borderId="21" xfId="0" applyNumberFormat="1" applyFont="1" applyFill="1" applyBorder="1" applyAlignment="1">
      <x:alignment horizontal="right"/>
    </x:xf>
    <x:xf numFmtId="0" fontId="5" fillId="4" borderId="22" xfId="0" applyNumberFormat="1" applyFont="1" applyFill="1" applyBorder="1" applyAlignment="1">
      <x:alignment horizontal="right"/>
    </x:xf>
    <x:xf numFmtId="0" fontId="5" fillId="4" borderId="23" xfId="0" applyNumberFormat="1" applyFont="1" applyFill="1" applyBorder="1" applyAlignment="1">
      <x:alignment horizontal="right"/>
    </x:xf>
    <x:xf numFmtId="0" fontId="6" fillId="5" borderId="9" xfId="0" applyNumberFormat="1" applyFont="1" applyFill="1" applyBorder="1" applyAlignment="1">
      <x:alignment horizontal="center"/>
    </x:xf>
    <x:xf numFmtId="0" fontId="6" fillId="5" borderId="14" xfId="0" applyNumberFormat="1" applyFont="1" applyFill="1" applyBorder="1" applyAlignment="1">
      <x:alignment horizontal="center"/>
    </x:xf>
    <x:xf numFmtId="0" fontId="6" fillId="5" borderId="17" xfId="0" applyNumberFormat="1" applyFont="1" applyFill="1" applyBorder="1" applyAlignment="1">
      <x:alignment horizontal="center"/>
    </x:xf>
    <x:xf numFmtId="0" fontId="6" fillId="5" borderId="22" xfId="0" applyNumberFormat="1" applyFont="1" applyFill="1" applyBorder="1" applyAlignment="1">
      <x:alignment horizontal="center"/>
    </x:xf>
    <x:xf numFmtId="203" fontId="5" fillId="4" borderId="8" xfId="0" applyNumberFormat="1" applyFont="1" applyFill="1" applyBorder="1" applyAlignment="1">
      <x:alignment horizontal="right"/>
    </x:xf>
    <x:xf numFmtId="203" fontId="5" fillId="4" borderId="9" xfId="0" applyNumberFormat="1" applyFont="1" applyFill="1" applyBorder="1" applyAlignment="1">
      <x:alignment horizontal="right"/>
    </x:xf>
    <x:xf numFmtId="203" fontId="5" fillId="4" borderId="10" xfId="0" applyNumberFormat="1" applyFont="1" applyFill="1" applyBorder="1" applyAlignment="1">
      <x:alignment horizontal="right"/>
    </x:xf>
    <x:xf numFmtId="203" fontId="5" fillId="4" borderId="11" xfId="0" applyNumberFormat="1" applyFont="1" applyFill="1" applyBorder="1" applyAlignment="1">
      <x:alignment horizontal="right"/>
    </x:xf>
    <x:xf numFmtId="203" fontId="5" fillId="4" borderId="0" xfId="0" applyNumberFormat="1" applyFont="1" applyFill="1" applyBorder="1" applyAlignment="1">
      <x:alignment horizontal="right"/>
    </x:xf>
    <x:xf numFmtId="203" fontId="5" fillId="4" borderId="12" xfId="0" applyNumberFormat="1" applyFont="1" applyFill="1" applyBorder="1" applyAlignment="1">
      <x:alignment horizontal="right"/>
    </x:xf>
    <x:xf numFmtId="203" fontId="5" fillId="4" borderId="16" xfId="0" applyNumberFormat="1" applyFont="1" applyFill="1" applyBorder="1" applyAlignment="1">
      <x:alignment horizontal="right"/>
    </x:xf>
    <x:xf numFmtId="203" fontId="5" fillId="4" borderId="17" xfId="0" applyNumberFormat="1" applyFont="1" applyFill="1" applyBorder="1" applyAlignment="1">
      <x:alignment horizontal="right"/>
    </x:xf>
    <x:xf numFmtId="203" fontId="5" fillId="4" borderId="18" xfId="0" applyNumberFormat="1" applyFont="1" applyFill="1" applyBorder="1" applyAlignment="1">
      <x:alignment horizontal="right"/>
    </x:xf>
    <x:xf numFmtId="203" fontId="5" fillId="4" borderId="19" xfId="0" applyNumberFormat="1" applyFont="1" applyFill="1" applyBorder="1" applyAlignment="1">
      <x:alignment horizontal="right"/>
    </x:xf>
    <x:xf numFmtId="203" fontId="5" fillId="4" borderId="1" xfId="0" applyNumberFormat="1" applyFont="1" applyFill="1" applyBorder="1" applyAlignment="1">
      <x:alignment horizontal="right"/>
    </x:xf>
    <x:xf numFmtId="203" fontId="5" fillId="4" borderId="20" xfId="0" applyNumberFormat="1" applyFont="1" applyFill="1" applyBorder="1" applyAlignment="1">
      <x:alignment horizontal="right"/>
    </x:xf>
    <x:xf numFmtId="202" fontId="5" fillId="4" borderId="11" xfId="0" applyNumberFormat="1" applyFont="1" applyFill="1" applyBorder="1" applyAlignment="1">
      <x:alignment horizontal="right"/>
    </x:xf>
    <x:xf numFmtId="202" fontId="5" fillId="4" borderId="0" xfId="0" applyNumberFormat="1" applyFont="1" applyFill="1" applyBorder="1" applyAlignment="1">
      <x:alignment horizontal="right"/>
    </x:xf>
    <x:xf numFmtId="202" fontId="5" fillId="4" borderId="12" xfId="0" applyNumberFormat="1" applyFont="1" applyFill="1" applyBorder="1" applyAlignment="1">
      <x:alignment horizontal="right"/>
    </x:xf>
    <x:xf numFmtId="202" fontId="5" fillId="4" borderId="19" xfId="0" applyNumberFormat="1" applyFont="1" applyFill="1" applyBorder="1" applyAlignment="1">
      <x:alignment horizontal="right"/>
    </x:xf>
    <x:xf numFmtId="202" fontId="5" fillId="4" borderId="1" xfId="0" applyNumberFormat="1" applyFont="1" applyFill="1" applyBorder="1" applyAlignment="1">
      <x:alignment horizontal="right"/>
    </x:xf>
    <x:xf numFmtId="202" fontId="5" fillId="4" borderId="20" xfId="0" applyNumberFormat="1" applyFont="1" applyFill="1" applyBorder="1" applyAlignment="1">
      <x:alignment horizontal="right"/>
    </x:xf>
    <x:xf numFmtId="201" fontId="5" fillId="4" borderId="11" xfId="0" applyNumberFormat="1" applyFont="1" applyFill="1" applyBorder="1" applyAlignment="1">
      <x:alignment horizontal="right"/>
    </x:xf>
    <x:xf numFmtId="201" fontId="5" fillId="4" borderId="0" xfId="0" applyNumberFormat="1" applyFont="1" applyFill="1" applyBorder="1" applyAlignment="1">
      <x:alignment horizontal="right"/>
    </x:xf>
    <x:xf numFmtId="201" fontId="5" fillId="4" borderId="12" xfId="0" applyNumberFormat="1" applyFont="1" applyFill="1" applyBorder="1" applyAlignment="1">
      <x:alignment horizontal="right"/>
    </x:xf>
    <x:xf numFmtId="201" fontId="5" fillId="4" borderId="19" xfId="0" applyNumberFormat="1" applyFont="1" applyFill="1" applyBorder="1" applyAlignment="1">
      <x:alignment horizontal="right"/>
    </x:xf>
    <x:xf numFmtId="201" fontId="5" fillId="4" borderId="1" xfId="0" applyNumberFormat="1" applyFont="1" applyFill="1" applyBorder="1" applyAlignment="1">
      <x:alignment horizontal="right"/>
    </x:xf>
    <x:xf numFmtId="201" fontId="5" fillId="4" borderId="20" xfId="0" applyNumberFormat="1" applyFont="1" applyFill="1" applyBorder="1" applyAlignment="1">
      <x:alignment horizontal="right"/>
    </x:xf>
    <x:xf numFmtId="204" fontId="5" fillId="4" borderId="11" xfId="0" applyNumberFormat="1" applyFont="1" applyFill="1" applyBorder="1" applyAlignment="1">
      <x:alignment horizontal="right"/>
    </x:xf>
    <x:xf numFmtId="204" fontId="5" fillId="4" borderId="0" xfId="0" applyNumberFormat="1" applyFont="1" applyFill="1" applyBorder="1" applyAlignment="1">
      <x:alignment horizontal="right"/>
    </x:xf>
    <x:xf numFmtId="204" fontId="5" fillId="4" borderId="12" xfId="0" applyNumberFormat="1" applyFont="1" applyFill="1" applyBorder="1" applyAlignment="1">
      <x:alignment horizontal="right"/>
    </x:xf>
    <x:xf numFmtId="204" fontId="5" fillId="4" borderId="13" xfId="0" applyNumberFormat="1" applyFont="1" applyFill="1" applyBorder="1" applyAlignment="1">
      <x:alignment horizontal="right"/>
    </x:xf>
    <x:xf numFmtId="204" fontId="5" fillId="4" borderId="14" xfId="0" applyNumberFormat="1" applyFont="1" applyFill="1" applyBorder="1" applyAlignment="1">
      <x:alignment horizontal="right"/>
    </x:xf>
    <x:xf numFmtId="204" fontId="5" fillId="4" borderId="15" xfId="0" applyNumberFormat="1" applyFont="1" applyFill="1" applyBorder="1" applyAlignment="1">
      <x:alignment horizontal="right"/>
    </x:xf>
    <x:xf numFmtId="204" fontId="5" fillId="4" borderId="19" xfId="0" applyNumberFormat="1" applyFont="1" applyFill="1" applyBorder="1" applyAlignment="1">
      <x:alignment horizontal="right"/>
    </x:xf>
    <x:xf numFmtId="204" fontId="5" fillId="4" borderId="1" xfId="0" applyNumberFormat="1" applyFont="1" applyFill="1" applyBorder="1" applyAlignment="1">
      <x:alignment horizontal="right"/>
    </x:xf>
    <x:xf numFmtId="204" fontId="5" fillId="4" borderId="20" xfId="0" applyNumberFormat="1" applyFont="1" applyFill="1" applyBorder="1" applyAlignment="1">
      <x:alignment horizontal="right"/>
    </x:xf>
    <x:xf numFmtId="204" fontId="5" fillId="4" borderId="21" xfId="0" applyNumberFormat="1" applyFont="1" applyFill="1" applyBorder="1" applyAlignment="1">
      <x:alignment horizontal="right"/>
    </x:xf>
    <x:xf numFmtId="204" fontId="5" fillId="4" borderId="22" xfId="0" applyNumberFormat="1" applyFont="1" applyFill="1" applyBorder="1" applyAlignment="1">
      <x:alignment horizontal="right"/>
    </x:xf>
    <x:xf numFmtId="204" fontId="5" fillId="4" borderId="23" xfId="0" applyNumberFormat="1" applyFont="1" applyFill="1" applyBorder="1" applyAlignment="1">
      <x:alignment horizontal="right"/>
    </x:xf>
    <x:xf numFmtId="0" fontId="0" fillId="6" borderId="0" xfId="0" applyNumberFormat="1" applyFont="1" applyFill="1" applyBorder="1"/>
    <x:xf numFmtId="0" fontId="8" fillId="6" borderId="0"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13" xfId="0" applyNumberFormat="1" applyFont="1" applyFill="1" applyBorder="1"/>
    <x:xf numFmtId="0" fontId="8" fillId="6" borderId="14" xfId="0" applyNumberFormat="1" applyFont="1" applyFill="1" applyBorder="1"/>
    <x:xf numFmtId="0" fontId="8" fillId="6" borderId="15" xfId="0" applyNumberFormat="1" applyFont="1" applyFill="1" applyBorder="1"/>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11"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12" xfId="0" applyNumberFormat="1" applyFont="1" applyFill="1" applyBorder="1" applyAlignment="1">
      <x:alignment wrapText="1"/>
    </x:xf>
    <x:xf numFmtId="0" fontId="8" fillId="6" borderId="13" xfId="0" applyNumberFormat="1" applyFont="1" applyFill="1" applyBorder="1" applyAlignment="1">
      <x:alignment wrapText="1"/>
    </x:xf>
    <x:xf numFmtId="0" fontId="8" fillId="6" borderId="14" xfId="0" applyNumberFormat="1" applyFont="1" applyFill="1" applyBorder="1" applyAlignment="1">
      <x:alignment wrapText="1"/>
    </x:xf>
    <x:xf numFmtId="0" fontId="8" fillId="6" borderId="15" xfId="0" applyNumberFormat="1" applyFont="1" applyFill="1" applyBorder="1" applyAlignment="1">
      <x:alignment wrapText="1"/>
    </x:xf>
    <x:xf numFmtId="0" fontId="8" fillId="6" borderId="8" xfId="0" applyNumberFormat="1" applyFont="1" applyFill="1" applyBorder="1" applyAlignment="1">
      <x:alignment vertical="center" wrapText="1"/>
    </x:xf>
    <x:xf numFmtId="0" fontId="8" fillId="6" borderId="9" xfId="0" applyNumberFormat="1" applyFont="1" applyFill="1" applyBorder="1" applyAlignment="1">
      <x:alignment vertical="center" wrapText="1"/>
    </x:xf>
    <x:xf numFmtId="0" fontId="8" fillId="6" borderId="10" xfId="0" applyNumberFormat="1" applyFont="1" applyFill="1" applyBorder="1" applyAlignment="1">
      <x:alignment vertical="center" wrapText="1"/>
    </x:xf>
    <x:xf numFmtId="0" fontId="8" fillId="6" borderId="11"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8" fillId="6" borderId="12" xfId="0" applyNumberFormat="1" applyFont="1" applyFill="1" applyBorder="1" applyAlignment="1">
      <x:alignment vertical="center" wrapText="1"/>
    </x:xf>
    <x:xf numFmtId="0" fontId="8" fillId="6" borderId="13" xfId="0" applyNumberFormat="1" applyFont="1" applyFill="1" applyBorder="1" applyAlignment="1">
      <x:alignment vertical="center" wrapText="1"/>
    </x:xf>
    <x:xf numFmtId="0" fontId="8" fillId="6" borderId="14" xfId="0" applyNumberFormat="1" applyFont="1" applyFill="1" applyBorder="1" applyAlignment="1">
      <x:alignment vertical="center" wrapText="1"/>
    </x:xf>
    <x:xf numFmtId="0" fontId="8" fillId="6" borderId="15" xfId="0" applyNumberFormat="1" applyFont="1" applyFill="1" applyBorder="1" applyAlignment="1">
      <x:alignment vertical="center" wrapText="1"/>
    </x:xf>
    <x:xf numFmtId="0" fontId="0" fillId="6" borderId="1" xfId="0" applyNumberFormat="1" applyFont="1" applyFill="1" applyBorder="1"/>
    <x:xf numFmtId="0" fontId="8" fillId="6" borderId="1" xfId="0" applyNumberFormat="1" applyFont="1" applyFill="1" applyBorder="1"/>
    <x:xf numFmtId="0" fontId="8" fillId="6" borderId="16" xfId="0" applyNumberFormat="1" applyFont="1" applyFill="1" applyBorder="1"/>
    <x:xf numFmtId="0" fontId="8" fillId="6" borderId="17" xfId="0" applyNumberFormat="1" applyFont="1" applyFill="1" applyBorder="1"/>
    <x:xf numFmtId="0" fontId="8" fillId="6" borderId="18" xfId="0" applyNumberFormat="1" applyFont="1" applyFill="1" applyBorder="1"/>
    <x:xf numFmtId="0" fontId="8" fillId="6" borderId="19" xfId="0" applyNumberFormat="1" applyFont="1" applyFill="1" applyBorder="1"/>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23" xfId="0" applyNumberFormat="1" applyFont="1" applyFill="1" applyBorder="1"/>
    <x:xf numFmtId="0" fontId="8" fillId="6" borderId="16" xfId="0" applyNumberFormat="1" applyFont="1" applyFill="1" applyBorder="1" applyAlignment="1">
      <x:alignment wrapText="1"/>
    </x:xf>
    <x:xf numFmtId="0" fontId="8" fillId="6" borderId="17" xfId="0" applyNumberFormat="1" applyFont="1" applyFill="1" applyBorder="1" applyAlignment="1">
      <x:alignment wrapText="1"/>
    </x:xf>
    <x:xf numFmtId="0" fontId="8" fillId="6" borderId="18" xfId="0" applyNumberFormat="1" applyFont="1" applyFill="1" applyBorder="1" applyAlignment="1">
      <x:alignment wrapText="1"/>
    </x:xf>
    <x:xf numFmtId="0" fontId="8" fillId="6" borderId="19" xfId="0" applyNumberFormat="1" applyFont="1" applyFill="1" applyBorder="1" applyAlignment="1">
      <x:alignment wrapText="1"/>
    </x:xf>
    <x:xf numFmtId="0" fontId="8" fillId="6" borderId="1" xfId="0" applyNumberFormat="1" applyFont="1" applyFill="1" applyBorder="1" applyAlignment="1">
      <x:alignment wrapText="1"/>
    </x:xf>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23" xfId="0" applyNumberFormat="1" applyFont="1" applyFill="1" applyBorder="1" applyAlignment="1">
      <x:alignment wrapText="1"/>
    </x:xf>
    <x:xf numFmtId="0" fontId="8" fillId="6" borderId="16" xfId="0" applyNumberFormat="1" applyFont="1" applyFill="1" applyBorder="1" applyAlignment="1">
      <x:alignment vertical="center" wrapText="1"/>
    </x:xf>
    <x:xf numFmtId="0" fontId="8" fillId="6" borderId="17" xfId="0" applyNumberFormat="1" applyFont="1" applyFill="1" applyBorder="1" applyAlignment="1">
      <x:alignment vertical="center" wrapText="1"/>
    </x:xf>
    <x:xf numFmtId="0" fontId="8" fillId="6" borderId="18" xfId="0" applyNumberFormat="1" applyFont="1" applyFill="1" applyBorder="1" applyAlignment="1">
      <x:alignment vertical="center" wrapText="1"/>
    </x:xf>
    <x:xf numFmtId="0" fontId="8" fillId="6" borderId="19" xfId="0" applyNumberFormat="1" applyFont="1" applyFill="1" applyBorder="1" applyAlignment="1">
      <x:alignment vertical="center" wrapText="1"/>
    </x:xf>
    <x:xf numFmtId="0" fontId="8" fillId="6" borderId="1" xfId="0" applyNumberFormat="1" applyFont="1" applyFill="1" applyBorder="1" applyAlignment="1">
      <x:alignment vertical="center" wrapText="1"/>
    </x:xf>
    <x:xf numFmtId="0" fontId="8" fillId="6" borderId="20" xfId="0" applyNumberFormat="1" applyFont="1" applyFill="1" applyBorder="1" applyAlignment="1">
      <x:alignment vertical="center" wrapText="1"/>
    </x:xf>
    <x:xf numFmtId="0" fontId="8" fillId="6" borderId="21" xfId="0" applyNumberFormat="1" applyFont="1" applyFill="1" applyBorder="1" applyAlignment="1">
      <x:alignment vertical="center" wrapText="1"/>
    </x:xf>
    <x:xf numFmtId="0" fontId="8" fillId="6" borderId="22" xfId="0" applyNumberFormat="1" applyFont="1" applyFill="1" applyBorder="1" applyAlignment="1">
      <x:alignment vertical="center" wrapText="1"/>
    </x:xf>
    <x:xf numFmtId="0" fontId="8" fillId="6" borderId="23" xfId="0" applyNumberFormat="1" applyFont="1" applyFill="1" applyBorder="1" applyAlignment="1">
      <x:alignment vertical="center" wrapText="1"/>
    </x:xf>
    <x:xf numFmtId="0" fontId="9" fillId="0" borderId="0" xfId="0" applyNumberFormat="1" applyFont="1" applyFill="1" applyBorder="1"/>
    <x:xf numFmtId="0" fontId="9" fillId="0" borderId="2" xfId="0" applyNumberFormat="1" applyFont="1" applyFill="1" applyBorder="1"/>
    <x:xf numFmtId="0" fontId="9" fillId="0" borderId="3" xfId="0" applyNumberFormat="1" applyFont="1" applyFill="1" applyBorder="1"/>
    <x:xf numFmtId="0" fontId="9" fillId="0" borderId="4" xfId="0" applyNumberFormat="1" applyFont="1" applyFill="1" applyBorder="1"/>
    <x:xf numFmtId="0" fontId="9" fillId="0" borderId="2" xfId="0" applyNumberFormat="1" applyFont="1" applyFill="1" applyBorder="1" applyAlignment="1">
      <x:alignment wrapText="1"/>
    </x:xf>
    <x:xf numFmtId="0" fontId="9" fillId="0" borderId="3" xfId="0" applyNumberFormat="1" applyFont="1" applyFill="1" applyBorder="1" applyAlignment="1">
      <x:alignment wrapText="1"/>
    </x:xf>
    <x:xf numFmtId="0" fontId="9" fillId="0" borderId="4" xfId="0" applyNumberFormat="1" applyFont="1" applyFill="1" applyBorder="1" applyAlignment="1">
      <x:alignment wrapText="1"/>
    </x:xf>
    <x:xf numFmtId="0" fontId="9" fillId="0" borderId="1" xfId="0" applyNumberFormat="1" applyFont="1" applyFill="1" applyBorder="1"/>
    <x:xf numFmtId="0" fontId="9" fillId="0" borderId="5" xfId="0" applyNumberFormat="1" applyFont="1" applyFill="1" applyBorder="1"/>
    <x:xf numFmtId="0" fontId="9" fillId="0" borderId="6" xfId="0" applyNumberFormat="1" applyFont="1" applyFill="1" applyBorder="1"/>
    <x:xf numFmtId="0" fontId="9" fillId="0" borderId="7" xfId="0" applyNumberFormat="1" applyFont="1" applyFill="1" applyBorder="1"/>
    <x:xf numFmtId="0" fontId="9" fillId="0" borderId="5" xfId="0" applyNumberFormat="1" applyFont="1" applyFill="1" applyBorder="1" applyAlignment="1">
      <x:alignment wrapText="1"/>
    </x:xf>
    <x:xf numFmtId="0" fontId="9" fillId="0" borderId="6" xfId="0" applyNumberFormat="1" applyFont="1" applyFill="1" applyBorder="1" applyAlignment="1">
      <x:alignment wrapText="1"/>
    </x:xf>
    <x:xf numFmtId="0" fontId="9" fillId="0" borderId="7"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7" xfId="0" applyNumberFormat="1" applyFont="1" applyFill="1" applyBorder="1" applyAlignment="1">
      <x:alignment wrapText="1"/>
    </x:xf>
    <x:xf numFmtId="0" fontId="10" fillId="0" borderId="0" xfId="0" applyNumberFormat="1" applyFont="1" applyFill="1" applyBorder="1"/>
    <x:xf numFmtId="0" fontId="10" fillId="0" borderId="1" xfId="0" applyNumberFormat="1" applyFont="1" applyFill="1" applyBorder="1"/>
    <x:xf numFmtId="0" fontId="11" fillId="0" borderId="0" xfId="0" applyNumberFormat="1" applyFont="1" applyFill="1" applyBorder="1"/>
    <x:xf numFmtId="0" fontId="11" fillId="0" borderId="1" xfId="0" applyNumberFormat="1" applyFont="1" applyFill="1" applyBorder="1"/>
    <x:xf numFmtId="0" fontId="12" fillId="0" borderId="0" xfId="0" applyNumberFormat="1" applyFont="1" applyFill="1" applyBorder="1"/>
    <x:xf numFmtId="0" fontId="12" fillId="0" borderId="1" xfId="0" applyNumberFormat="1" applyFont="1" applyFill="1" applyBorder="1"/>
    <x:xf numFmtId="0" fontId="13" fillId="0" borderId="0" xfId="0" applyNumberFormat="1" applyFont="1" applyFill="1" applyBorder="1"/>
    <x:xf numFmtId="0" fontId="13" fillId="0" borderId="1" xfId="0" applyNumberFormat="1" applyFont="1" applyFill="1" applyBorder="1"/>
    <x:xf numFmtId="0" fontId="10" fillId="0" borderId="8" xfId="0" applyNumberFormat="1" applyFont="1" applyFill="1" applyBorder="1"/>
    <x:xf numFmtId="0" fontId="10" fillId="0" borderId="9" xfId="0" applyNumberFormat="1" applyFont="1" applyFill="1" applyBorder="1"/>
    <x:xf numFmtId="0" fontId="10" fillId="0" borderId="10" xfId="0" applyNumberFormat="1" applyFont="1" applyFill="1" applyBorder="1"/>
    <x:xf numFmtId="0" fontId="10" fillId="0" borderId="11" xfId="0" applyNumberFormat="1" applyFont="1" applyFill="1" applyBorder="1"/>
    <x:xf numFmtId="0" fontId="10" fillId="0" borderId="12" xfId="0" applyNumberFormat="1" applyFont="1" applyFill="1" applyBorder="1"/>
    <x:xf numFmtId="0" fontId="11" fillId="0" borderId="11" xfId="0" applyNumberFormat="1" applyFont="1" applyFill="1" applyBorder="1"/>
    <x:xf numFmtId="0" fontId="11" fillId="0" borderId="12"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3" fillId="0" borderId="13" xfId="0" applyNumberFormat="1" applyFont="1" applyFill="1" applyBorder="1"/>
    <x:xf numFmtId="0" fontId="12" fillId="0" borderId="14" xfId="0" applyNumberFormat="1" applyFont="1" applyFill="1" applyBorder="1"/>
    <x:xf numFmtId="0" fontId="12" fillId="0" borderId="15" xfId="0" applyNumberFormat="1" applyFont="1" applyFill="1" applyBorder="1"/>
    <x:xf numFmtId="0" fontId="10" fillId="0" borderId="16" xfId="0" applyNumberFormat="1" applyFont="1" applyFill="1" applyBorder="1"/>
    <x:xf numFmtId="0" fontId="10" fillId="0" borderId="17" xfId="0" applyNumberFormat="1" applyFont="1" applyFill="1" applyBorder="1"/>
    <x:xf numFmtId="0" fontId="10" fillId="0" borderId="18" xfId="0" applyNumberFormat="1" applyFont="1" applyFill="1" applyBorder="1"/>
    <x:xf numFmtId="0" fontId="10" fillId="0" borderId="19" xfId="0" applyNumberFormat="1" applyFont="1" applyFill="1" applyBorder="1"/>
    <x:xf numFmtId="0" fontId="10" fillId="0" borderId="20" xfId="0" applyNumberFormat="1" applyFont="1" applyFill="1" applyBorder="1"/>
    <x:xf numFmtId="0" fontId="11" fillId="0" borderId="19" xfId="0" applyNumberFormat="1" applyFont="1" applyFill="1" applyBorder="1"/>
    <x:xf numFmtId="0" fontId="11" fillId="0" borderId="20" xfId="0" applyNumberFormat="1" applyFont="1" applyFill="1" applyBorder="1"/>
    <x:xf numFmtId="0" fontId="12" fillId="0" borderId="19" xfId="0" applyNumberFormat="1" applyFont="1" applyFill="1" applyBorder="1"/>
    <x:xf numFmtId="0" fontId="12" fillId="0" borderId="20" xfId="0" applyNumberFormat="1" applyFont="1" applyFill="1" applyBorder="1"/>
    <x:xf numFmtId="0" fontId="13"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0" fillId="0" borderId="8" xfId="0" applyNumberFormat="1" applyFont="1" applyFill="1" applyBorder="1" applyAlignment="1">
      <x:alignment horizontal="right"/>
    </x:xf>
    <x:xf numFmtId="0" fontId="10" fillId="0" borderId="9" xfId="0" applyNumberFormat="1" applyFont="1" applyFill="1" applyBorder="1" applyAlignment="1">
      <x:alignment horizontal="right"/>
    </x:xf>
    <x:xf numFmtId="0" fontId="10" fillId="0" borderId="10" xfId="0" applyNumberFormat="1" applyFont="1" applyFill="1" applyBorder="1" applyAlignment="1">
      <x:alignment horizontal="right"/>
    </x:xf>
    <x:xf numFmtId="0" fontId="10" fillId="0" borderId="11" xfId="0" applyNumberFormat="1" applyFont="1" applyFill="1" applyBorder="1" applyAlignment="1">
      <x:alignment horizontal="right"/>
    </x:xf>
    <x:xf numFmtId="0" fontId="10" fillId="0" borderId="0" xfId="0" applyNumberFormat="1" applyFont="1" applyFill="1" applyBorder="1" applyAlignment="1">
      <x:alignment horizontal="right"/>
    </x:xf>
    <x:xf numFmtId="0" fontId="10" fillId="0" borderId="12" xfId="0" applyNumberFormat="1" applyFont="1" applyFill="1" applyBorder="1" applyAlignment="1">
      <x:alignment horizontal="right"/>
    </x:xf>
    <x:xf numFmtId="0" fontId="11" fillId="0" borderId="11" xfId="0" applyNumberFormat="1" applyFont="1" applyFill="1" applyBorder="1" applyAlignment="1">
      <x:alignment horizontal="right"/>
    </x:xf>
    <x:xf numFmtId="0" fontId="11" fillId="0" borderId="0" xfId="0" applyNumberFormat="1" applyFont="1" applyFill="1" applyBorder="1" applyAlignment="1">
      <x:alignment horizontal="right"/>
    </x:xf>
    <x:xf numFmtId="0" fontId="11" fillId="0" borderId="12" xfId="0" applyNumberFormat="1" applyFont="1" applyFill="1" applyBorder="1" applyAlignment="1">
      <x:alignment horizontal="right"/>
    </x:xf>
    <x:xf numFmtId="0" fontId="12" fillId="0" borderId="11" xfId="0" applyNumberFormat="1" applyFont="1" applyFill="1" applyBorder="1" applyAlignment="1">
      <x:alignment horizontal="right"/>
    </x:xf>
    <x:xf numFmtId="0" fontId="12" fillId="0" borderId="0" xfId="0" applyNumberFormat="1" applyFont="1" applyFill="1" applyBorder="1" applyAlignment="1">
      <x:alignment horizontal="right"/>
    </x:xf>
    <x:xf numFmtId="0" fontId="12" fillId="0" borderId="12" xfId="0" applyNumberFormat="1" applyFont="1" applyFill="1" applyBorder="1" applyAlignment="1">
      <x:alignment horizontal="right"/>
    </x:xf>
    <x:xf numFmtId="0" fontId="13" fillId="0" borderId="13" xfId="0" applyNumberFormat="1" applyFont="1" applyFill="1" applyBorder="1" applyAlignment="1">
      <x:alignment horizontal="right"/>
    </x:xf>
    <x:xf numFmtId="0" fontId="12" fillId="0" borderId="14" xfId="0" applyNumberFormat="1" applyFont="1" applyFill="1" applyBorder="1" applyAlignment="1">
      <x:alignment horizontal="right"/>
    </x:xf>
    <x:xf numFmtId="0" fontId="12" fillId="0" borderId="15" xfId="0" applyNumberFormat="1" applyFont="1" applyFill="1" applyBorder="1" applyAlignment="1">
      <x:alignment horizontal="right"/>
    </x:xf>
    <x:xf numFmtId="0" fontId="10" fillId="0" borderId="16" xfId="0" applyNumberFormat="1" applyFont="1" applyFill="1" applyBorder="1" applyAlignment="1">
      <x:alignment horizontal="right"/>
    </x:xf>
    <x:xf numFmtId="0" fontId="10" fillId="0" borderId="17" xfId="0" applyNumberFormat="1" applyFont="1" applyFill="1" applyBorder="1" applyAlignment="1">
      <x:alignment horizontal="right"/>
    </x:xf>
    <x:xf numFmtId="0" fontId="10" fillId="0" borderId="18" xfId="0" applyNumberFormat="1" applyFont="1" applyFill="1" applyBorder="1" applyAlignment="1">
      <x:alignment horizontal="right"/>
    </x:xf>
    <x:xf numFmtId="0" fontId="10" fillId="0" borderId="19" xfId="0" applyNumberFormat="1" applyFont="1" applyFill="1" applyBorder="1" applyAlignment="1">
      <x:alignment horizontal="right"/>
    </x:xf>
    <x:xf numFmtId="0" fontId="10" fillId="0" borderId="1" xfId="0" applyNumberFormat="1" applyFont="1" applyFill="1" applyBorder="1" applyAlignment="1">
      <x:alignment horizontal="right"/>
    </x:xf>
    <x:xf numFmtId="0" fontId="10" fillId="0" borderId="20" xfId="0" applyNumberFormat="1" applyFont="1" applyFill="1" applyBorder="1" applyAlignment="1">
      <x:alignment horizontal="right"/>
    </x:xf>
    <x:xf numFmtId="0" fontId="11" fillId="0" borderId="19" xfId="0" applyNumberFormat="1" applyFont="1" applyFill="1" applyBorder="1" applyAlignment="1">
      <x:alignment horizontal="right"/>
    </x:xf>
    <x:xf numFmtId="0" fontId="11" fillId="0" borderId="1" xfId="0" applyNumberFormat="1" applyFont="1" applyFill="1" applyBorder="1" applyAlignment="1">
      <x:alignment horizontal="right"/>
    </x:xf>
    <x:xf numFmtId="0" fontId="11" fillId="0" borderId="20" xfId="0" applyNumberFormat="1" applyFont="1" applyFill="1" applyBorder="1" applyAlignment="1">
      <x:alignment horizontal="right"/>
    </x:xf>
    <x:xf numFmtId="0" fontId="12" fillId="0" borderId="19" xfId="0" applyNumberFormat="1" applyFont="1" applyFill="1" applyBorder="1" applyAlignment="1">
      <x:alignment horizontal="right"/>
    </x:xf>
    <x:xf numFmtId="0" fontId="12" fillId="0" borderId="1" xfId="0" applyNumberFormat="1" applyFont="1" applyFill="1" applyBorder="1" applyAlignment="1">
      <x:alignment horizontal="right"/>
    </x:xf>
    <x:xf numFmtId="0" fontId="12" fillId="0" borderId="20" xfId="0" applyNumberFormat="1" applyFont="1" applyFill="1" applyBorder="1" applyAlignment="1">
      <x:alignment horizontal="right"/>
    </x:xf>
    <x:xf numFmtId="0" fontId="13" fillId="0" borderId="21" xfId="0" applyNumberFormat="1" applyFont="1" applyFill="1" applyBorder="1" applyAlignment="1">
      <x:alignment horizontal="right"/>
    </x:xf>
    <x:xf numFmtId="0" fontId="12" fillId="0" borderId="22" xfId="0" applyNumberFormat="1" applyFont="1" applyFill="1" applyBorder="1" applyAlignment="1">
      <x:alignment horizontal="right"/>
    </x:xf>
    <x:xf numFmtId="0" fontId="12" fillId="0" borderId="23" xfId="0" applyNumberFormat="1" applyFont="1" applyFill="1" applyBorder="1" applyAlignment="1">
      <x:alignment horizontal="right"/>
    </x:xf>
    <x:xf numFmtId="202" fontId="10" fillId="0" borderId="8" xfId="0" applyNumberFormat="1" applyFont="1" applyFill="1" applyBorder="1" applyAlignment="1">
      <x:alignment horizontal="right"/>
    </x:xf>
    <x:xf numFmtId="202" fontId="10" fillId="0" borderId="9" xfId="0" applyNumberFormat="1" applyFont="1" applyFill="1" applyBorder="1" applyAlignment="1">
      <x:alignment horizontal="right"/>
    </x:xf>
    <x:xf numFmtId="202" fontId="10" fillId="0" borderId="10" xfId="0" applyNumberFormat="1" applyFont="1" applyFill="1" applyBorder="1" applyAlignment="1">
      <x:alignment horizontal="right"/>
    </x:xf>
    <x:xf numFmtId="202" fontId="10" fillId="0" borderId="16" xfId="0" applyNumberFormat="1" applyFont="1" applyFill="1" applyBorder="1" applyAlignment="1">
      <x:alignment horizontal="right"/>
    </x:xf>
    <x:xf numFmtId="202" fontId="10" fillId="0" borderId="17" xfId="0" applyNumberFormat="1" applyFont="1" applyFill="1" applyBorder="1" applyAlignment="1">
      <x:alignment horizontal="right"/>
    </x:xf>
    <x:xf numFmtId="202" fontId="10" fillId="0" borderId="18" xfId="0" applyNumberFormat="1" applyFont="1" applyFill="1" applyBorder="1" applyAlignment="1">
      <x:alignment horizontal="right"/>
    </x:xf>
    <x:xf numFmtId="202" fontId="11" fillId="0" borderId="11" xfId="0" applyNumberFormat="1" applyFont="1" applyFill="1" applyBorder="1" applyAlignment="1">
      <x:alignment horizontal="right"/>
    </x:xf>
    <x:xf numFmtId="202" fontId="11" fillId="0" borderId="0" xfId="0" applyNumberFormat="1" applyFont="1" applyFill="1" applyBorder="1" applyAlignment="1">
      <x:alignment horizontal="right"/>
    </x:xf>
    <x:xf numFmtId="202" fontId="11" fillId="0" borderId="12" xfId="0" applyNumberFormat="1" applyFont="1" applyFill="1" applyBorder="1" applyAlignment="1">
      <x:alignment horizontal="right"/>
    </x:xf>
    <x:xf numFmtId="202" fontId="11" fillId="0" borderId="19" xfId="0" applyNumberFormat="1" applyFont="1" applyFill="1" applyBorder="1" applyAlignment="1">
      <x:alignment horizontal="right"/>
    </x:xf>
    <x:xf numFmtId="202" fontId="11" fillId="0" borderId="1" xfId="0" applyNumberFormat="1" applyFont="1" applyFill="1" applyBorder="1" applyAlignment="1">
      <x:alignment horizontal="right"/>
    </x:xf>
    <x:xf numFmtId="202" fontId="11" fillId="0" borderId="20" xfId="0" applyNumberFormat="1" applyFont="1" applyFill="1" applyBorder="1" applyAlignment="1">
      <x:alignment horizontal="right"/>
    </x:xf>
    <x:xf numFmtId="203" fontId="10" fillId="0" borderId="11" xfId="0" applyNumberFormat="1" applyFont="1" applyFill="1" applyBorder="1" applyAlignment="1">
      <x:alignment horizontal="right"/>
    </x:xf>
    <x:xf numFmtId="203" fontId="10" fillId="0" borderId="0" xfId="0" applyNumberFormat="1" applyFont="1" applyFill="1" applyBorder="1" applyAlignment="1">
      <x:alignment horizontal="right"/>
    </x:xf>
    <x:xf numFmtId="203" fontId="10" fillId="0" borderId="12" xfId="0" applyNumberFormat="1" applyFont="1" applyFill="1" applyBorder="1" applyAlignment="1">
      <x:alignment horizontal="right"/>
    </x:xf>
    <x:xf numFmtId="203" fontId="10" fillId="0" borderId="19" xfId="0" applyNumberFormat="1" applyFont="1" applyFill="1" applyBorder="1" applyAlignment="1">
      <x:alignment horizontal="right"/>
    </x:xf>
    <x:xf numFmtId="203" fontId="10" fillId="0" borderId="1" xfId="0" applyNumberFormat="1" applyFont="1" applyFill="1" applyBorder="1" applyAlignment="1">
      <x:alignment horizontal="right"/>
    </x:xf>
    <x:xf numFmtId="203" fontId="10" fillId="0" borderId="20" xfId="0" applyNumberFormat="1" applyFont="1" applyFill="1" applyBorder="1" applyAlignment="1">
      <x:alignment horizontal="right"/>
    </x:xf>
    <x:xf numFmtId="203" fontId="11" fillId="0" borderId="11" xfId="0" applyNumberFormat="1" applyFont="1" applyFill="1" applyBorder="1" applyAlignment="1">
      <x:alignment horizontal="right"/>
    </x:xf>
    <x:xf numFmtId="203" fontId="11" fillId="0" borderId="0" xfId="0" applyNumberFormat="1" applyFont="1" applyFill="1" applyBorder="1" applyAlignment="1">
      <x:alignment horizontal="right"/>
    </x:xf>
    <x:xf numFmtId="203" fontId="11" fillId="0" borderId="12" xfId="0" applyNumberFormat="1" applyFont="1" applyFill="1" applyBorder="1" applyAlignment="1">
      <x:alignment horizontal="right"/>
    </x:xf>
    <x:xf numFmtId="203" fontId="12" fillId="0" borderId="11" xfId="0" applyNumberFormat="1" applyFont="1" applyFill="1" applyBorder="1" applyAlignment="1">
      <x:alignment horizontal="right"/>
    </x:xf>
    <x:xf numFmtId="203" fontId="12" fillId="0" borderId="0" xfId="0" applyNumberFormat="1" applyFont="1" applyFill="1" applyBorder="1" applyAlignment="1">
      <x:alignment horizontal="right"/>
    </x:xf>
    <x:xf numFmtId="203" fontId="12" fillId="0" borderId="12" xfId="0" applyNumberFormat="1" applyFont="1" applyFill="1" applyBorder="1" applyAlignment="1">
      <x:alignment horizontal="right"/>
    </x:xf>
    <x:xf numFmtId="203" fontId="11" fillId="0" borderId="19" xfId="0" applyNumberFormat="1" applyFont="1" applyFill="1" applyBorder="1" applyAlignment="1">
      <x:alignment horizontal="right"/>
    </x:xf>
    <x:xf numFmtId="203" fontId="11" fillId="0" borderId="1" xfId="0" applyNumberFormat="1" applyFont="1" applyFill="1" applyBorder="1" applyAlignment="1">
      <x:alignment horizontal="right"/>
    </x:xf>
    <x:xf numFmtId="203" fontId="11" fillId="0" borderId="20" xfId="0" applyNumberFormat="1" applyFont="1" applyFill="1" applyBorder="1" applyAlignment="1">
      <x:alignment horizontal="right"/>
    </x:xf>
    <x:xf numFmtId="203" fontId="12" fillId="0" borderId="19" xfId="0" applyNumberFormat="1" applyFont="1" applyFill="1" applyBorder="1" applyAlignment="1">
      <x:alignment horizontal="right"/>
    </x:xf>
    <x:xf numFmtId="203" fontId="12" fillId="0" borderId="1" xfId="0" applyNumberFormat="1" applyFont="1" applyFill="1" applyBorder="1" applyAlignment="1">
      <x:alignment horizontal="right"/>
    </x:xf>
    <x:xf numFmtId="203" fontId="12" fillId="0" borderId="20" xfId="0" applyNumberFormat="1" applyFont="1" applyFill="1" applyBorder="1" applyAlignment="1">
      <x:alignment horizontal="right"/>
    </x:xf>
    <x:xf numFmtId="202" fontId="12" fillId="0" borderId="11" xfId="0" applyNumberFormat="1" applyFont="1" applyFill="1" applyBorder="1" applyAlignment="1">
      <x:alignment horizontal="right"/>
    </x:xf>
    <x:xf numFmtId="202" fontId="12" fillId="0" borderId="0" xfId="0" applyNumberFormat="1" applyFont="1" applyFill="1" applyBorder="1" applyAlignment="1">
      <x:alignment horizontal="right"/>
    </x:xf>
    <x:xf numFmtId="202" fontId="12" fillId="0" borderId="12" xfId="0" applyNumberFormat="1" applyFont="1" applyFill="1" applyBorder="1" applyAlignment="1">
      <x:alignment horizontal="right"/>
    </x:xf>
    <x:xf numFmtId="202" fontId="12" fillId="0" borderId="19" xfId="0" applyNumberFormat="1" applyFont="1" applyFill="1" applyBorder="1" applyAlignment="1">
      <x:alignment horizontal="right"/>
    </x:xf>
    <x:xf numFmtId="202" fontId="12" fillId="0" borderId="1" xfId="0" applyNumberFormat="1" applyFont="1" applyFill="1" applyBorder="1" applyAlignment="1">
      <x:alignment horizontal="right"/>
    </x:xf>
    <x:xf numFmtId="202" fontId="12" fillId="0" borderId="20" xfId="0" applyNumberFormat="1" applyFont="1" applyFill="1" applyBorder="1" applyAlignment="1">
      <x:alignment horizontal="right"/>
    </x:xf>
    <x:xf numFmtId="201" fontId="11" fillId="0" borderId="11" xfId="0" applyNumberFormat="1" applyFont="1" applyFill="1" applyBorder="1" applyAlignment="1">
      <x:alignment horizontal="right"/>
    </x:xf>
    <x:xf numFmtId="201" fontId="11" fillId="0" borderId="0" xfId="0" applyNumberFormat="1" applyFont="1" applyFill="1" applyBorder="1" applyAlignment="1">
      <x:alignment horizontal="right"/>
    </x:xf>
    <x:xf numFmtId="201" fontId="11" fillId="0" borderId="12" xfId="0" applyNumberFormat="1" applyFont="1" applyFill="1" applyBorder="1" applyAlignment="1">
      <x:alignment horizontal="right"/>
    </x:xf>
    <x:xf numFmtId="201" fontId="11" fillId="0" borderId="19" xfId="0" applyNumberFormat="1" applyFont="1" applyFill="1" applyBorder="1" applyAlignment="1">
      <x:alignment horizontal="right"/>
    </x:xf>
    <x:xf numFmtId="201" fontId="11" fillId="0" borderId="1" xfId="0" applyNumberFormat="1" applyFont="1" applyFill="1" applyBorder="1" applyAlignment="1">
      <x:alignment horizontal="right"/>
    </x:xf>
    <x:xf numFmtId="201" fontId="11" fillId="0" borderId="20" xfId="0" applyNumberFormat="1" applyFont="1" applyFill="1" applyBorder="1" applyAlignment="1">
      <x:alignment horizontal="right"/>
    </x:xf>
    <x:xf numFmtId="201" fontId="12" fillId="0" borderId="11" xfId="0" applyNumberFormat="1" applyFont="1" applyFill="1" applyBorder="1" applyAlignment="1">
      <x:alignment horizontal="right"/>
    </x:xf>
    <x:xf numFmtId="201" fontId="12" fillId="0" borderId="0" xfId="0" applyNumberFormat="1" applyFont="1" applyFill="1" applyBorder="1" applyAlignment="1">
      <x:alignment horizontal="right"/>
    </x:xf>
    <x:xf numFmtId="201" fontId="12" fillId="0" borderId="12" xfId="0" applyNumberFormat="1" applyFont="1" applyFill="1" applyBorder="1" applyAlignment="1">
      <x:alignment horizontal="right"/>
    </x:xf>
    <x:xf numFmtId="201" fontId="10" fillId="0" borderId="11" xfId="0" applyNumberFormat="1" applyFont="1" applyFill="1" applyBorder="1" applyAlignment="1">
      <x:alignment horizontal="right"/>
    </x:xf>
    <x:xf numFmtId="201" fontId="10" fillId="0" borderId="0" xfId="0" applyNumberFormat="1" applyFont="1" applyFill="1" applyBorder="1" applyAlignment="1">
      <x:alignment horizontal="right"/>
    </x:xf>
    <x:xf numFmtId="201" fontId="10" fillId="0" borderId="12" xfId="0" applyNumberFormat="1" applyFont="1" applyFill="1" applyBorder="1" applyAlignment="1">
      <x:alignment horizontal="right"/>
    </x:xf>
    <x:xf numFmtId="201" fontId="12" fillId="0" borderId="19" xfId="0" applyNumberFormat="1" applyFont="1" applyFill="1" applyBorder="1" applyAlignment="1">
      <x:alignment horizontal="right"/>
    </x:xf>
    <x:xf numFmtId="201" fontId="12" fillId="0" borderId="1" xfId="0" applyNumberFormat="1" applyFont="1" applyFill="1" applyBorder="1" applyAlignment="1">
      <x:alignment horizontal="right"/>
    </x:xf>
    <x:xf numFmtId="201" fontId="12" fillId="0" borderId="20" xfId="0" applyNumberFormat="1" applyFont="1" applyFill="1" applyBorder="1" applyAlignment="1">
      <x:alignment horizontal="right"/>
    </x:xf>
    <x:xf numFmtId="201" fontId="10" fillId="0" borderId="19" xfId="0" applyNumberFormat="1" applyFont="1" applyFill="1" applyBorder="1" applyAlignment="1">
      <x:alignment horizontal="right"/>
    </x:xf>
    <x:xf numFmtId="201" fontId="10" fillId="0" borderId="1" xfId="0" applyNumberFormat="1" applyFont="1" applyFill="1" applyBorder="1" applyAlignment="1">
      <x:alignment horizontal="right"/>
    </x:xf>
    <x:xf numFmtId="201" fontId="10" fillId="0" borderId="20" xfId="0" applyNumberFormat="1" applyFont="1" applyFill="1" applyBorder="1" applyAlignment="1">
      <x:alignment horizontal="right"/>
    </x:xf>
    <x:xf numFmtId="205" fontId="10" fillId="0" borderId="11" xfId="0" applyNumberFormat="1" applyFont="1" applyFill="1" applyBorder="1" applyAlignment="1">
      <x:alignment horizontal="right"/>
    </x:xf>
    <x:xf numFmtId="205" fontId="10" fillId="0" borderId="0" xfId="0" applyNumberFormat="1" applyFont="1" applyFill="1" applyBorder="1" applyAlignment="1">
      <x:alignment horizontal="right"/>
    </x:xf>
    <x:xf numFmtId="205" fontId="10" fillId="0" borderId="12" xfId="0" applyNumberFormat="1" applyFont="1" applyFill="1" applyBorder="1" applyAlignment="1">
      <x:alignment horizontal="right"/>
    </x:xf>
    <x:xf numFmtId="205" fontId="10" fillId="0" borderId="19" xfId="0" applyNumberFormat="1" applyFont="1" applyFill="1" applyBorder="1" applyAlignment="1">
      <x:alignment horizontal="right"/>
    </x:xf>
    <x:xf numFmtId="205" fontId="10" fillId="0" borderId="1" xfId="0" applyNumberFormat="1" applyFont="1" applyFill="1" applyBorder="1" applyAlignment="1">
      <x:alignment horizontal="right"/>
    </x:xf>
    <x:xf numFmtId="205" fontId="10" fillId="0" borderId="20" xfId="0" applyNumberFormat="1" applyFont="1" applyFill="1" applyBorder="1" applyAlignment="1">
      <x:alignment horizontal="right"/>
    </x:xf>
    <x:xf numFmtId="0" fontId="13" fillId="0" borderId="13" xfId="0" applyNumberFormat="1" applyFont="1" applyFill="1" applyBorder="1" applyAlignment="1">
      <x:alignment horizontal="center"/>
    </x:xf>
    <x:xf numFmtId="0" fontId="12" fillId="0" borderId="14" xfId="0" applyNumberFormat="1" applyFont="1" applyFill="1" applyBorder="1" applyAlignment="1">
      <x:alignment horizontal="center"/>
    </x:xf>
    <x:xf numFmtId="0" fontId="12" fillId="0" borderId="15" xfId="0" applyNumberFormat="1" applyFont="1" applyFill="1" applyBorder="1" applyAlignment="1">
      <x:alignment horizontal="center"/>
    </x:xf>
    <x:xf numFmtId="0" fontId="13" fillId="0" borderId="21" xfId="0" applyNumberFormat="1" applyFont="1" applyFill="1" applyBorder="1" applyAlignment="1">
      <x:alignment horizontal="center"/>
    </x:xf>
    <x:xf numFmtId="0" fontId="12" fillId="0" borderId="22" xfId="0" applyNumberFormat="1" applyFont="1" applyFill="1" applyBorder="1" applyAlignment="1">
      <x:alignment horizontal="center"/>
    </x:xf>
    <x:xf numFmtId="0" fontId="12" fillId="0" borderId="23" xfId="0" applyNumberFormat="1" applyFont="1" applyFill="1" applyBorder="1" applyAlignment="1">
      <x:alignment horizontal="center"/>
    </x:xf>
    <x:xf numFmtId="0" fontId="4" fillId="7" borderId="3" xfId="0" applyNumberFormat="1" applyFont="1" applyFill="1" applyBorder="1" applyAlignment="1">
      <x:alignment wrapText="1"/>
    </x:xf>
    <x:xf numFmtId="202" fontId="12" fillId="7" borderId="11" xfId="0" applyNumberFormat="1" applyFont="1" applyFill="1" applyBorder="1" applyAlignment="1">
      <x:alignment horizontal="right"/>
    </x:xf>
    <x:xf numFmtId="202" fontId="12" fillId="7" borderId="0" xfId="0" applyNumberFormat="1" applyFont="1" applyFill="1" applyBorder="1" applyAlignment="1">
      <x:alignment horizontal="right"/>
    </x:xf>
    <x:xf numFmtId="202" fontId="12" fillId="7" borderId="12" xfId="0" applyNumberFormat="1" applyFont="1" applyFill="1" applyBorder="1" applyAlignment="1">
      <x:alignment horizontal="right"/>
    </x:xf>
    <x:xf numFmtId="0" fontId="4" fillId="7" borderId="6" xfId="0" applyNumberFormat="1" applyFont="1" applyFill="1" applyBorder="1" applyAlignment="1">
      <x:alignment wrapText="1"/>
    </x:xf>
    <x:xf numFmtId="202" fontId="12" fillId="7" borderId="19" xfId="0" applyNumberFormat="1" applyFont="1" applyFill="1" applyBorder="1" applyAlignment="1">
      <x:alignment horizontal="right"/>
    </x:xf>
    <x:xf numFmtId="202" fontId="12" fillId="7" borderId="1" xfId="0" applyNumberFormat="1" applyFont="1" applyFill="1" applyBorder="1" applyAlignment="1">
      <x:alignment horizontal="right"/>
    </x:xf>
    <x:xf numFmtId="202" fontId="12" fillId="7" borderId="20" xfId="0" applyNumberFormat="1" applyFont="1" applyFill="1" applyBorder="1" applyAlignment="1">
      <x:alignment horizontal="right"/>
    </x:xf>
    <x:xf numFmtId="202" fontId="4" fillId="7" borderId="11" xfId="0" applyNumberFormat="1" applyFont="1" applyFill="1" applyBorder="1" applyAlignment="1">
      <x:alignment horizontal="right"/>
    </x:xf>
    <x:xf numFmtId="202" fontId="4" fillId="7" borderId="0" xfId="0" applyNumberFormat="1" applyFont="1" applyFill="1" applyBorder="1" applyAlignment="1">
      <x:alignment horizontal="right"/>
    </x:xf>
    <x:xf numFmtId="202" fontId="4" fillId="7" borderId="12" xfId="0" applyNumberFormat="1" applyFont="1" applyFill="1" applyBorder="1" applyAlignment="1">
      <x:alignment horizontal="right"/>
    </x:xf>
    <x:xf numFmtId="202" fontId="4" fillId="7" borderId="19" xfId="0" applyNumberFormat="1" applyFont="1" applyFill="1" applyBorder="1" applyAlignment="1">
      <x:alignment horizontal="right"/>
    </x:xf>
    <x:xf numFmtId="202" fontId="4" fillId="7" borderId="1" xfId="0" applyNumberFormat="1" applyFont="1" applyFill="1" applyBorder="1" applyAlignment="1">
      <x:alignment horizontal="right"/>
    </x:xf>
    <x:xf numFmtId="202" fontId="4" fillId="7" borderId="20" xfId="0" applyNumberFormat="1" applyFont="1" applyFill="1" applyBorder="1" applyAlignment="1">
      <x:alignment horizontal="right"/>
    </x:xf>
    <x:xf numFmtId="0" fontId="9" fillId="7" borderId="3" xfId="0" applyNumberFormat="1" applyFont="1" applyFill="1" applyBorder="1" applyAlignment="1">
      <x:alignment wrapText="1"/>
    </x:xf>
    <x:xf numFmtId="201" fontId="11" fillId="7" borderId="11" xfId="0" applyNumberFormat="1" applyFont="1" applyFill="1" applyBorder="1" applyAlignment="1">
      <x:alignment horizontal="right"/>
    </x:xf>
    <x:xf numFmtId="201" fontId="11" fillId="7" borderId="0" xfId="0" applyNumberFormat="1" applyFont="1" applyFill="1" applyBorder="1" applyAlignment="1">
      <x:alignment horizontal="right"/>
    </x:xf>
    <x:xf numFmtId="201" fontId="11" fillId="7" borderId="12" xfId="0" applyNumberFormat="1" applyFont="1" applyFill="1" applyBorder="1" applyAlignment="1">
      <x:alignment horizontal="right"/>
    </x:xf>
    <x:xf numFmtId="0" fontId="9" fillId="7" borderId="6" xfId="0" applyNumberFormat="1" applyFont="1" applyFill="1" applyBorder="1" applyAlignment="1">
      <x:alignment wrapText="1"/>
    </x:xf>
    <x:xf numFmtId="201" fontId="11" fillId="7" borderId="19" xfId="0" applyNumberFormat="1" applyFont="1" applyFill="1" applyBorder="1" applyAlignment="1">
      <x:alignment horizontal="right"/>
    </x:xf>
    <x:xf numFmtId="201" fontId="11" fillId="7" borderId="1" xfId="0" applyNumberFormat="1" applyFont="1" applyFill="1" applyBorder="1" applyAlignment="1">
      <x:alignment horizontal="right"/>
    </x:xf>
    <x:xf numFmtId="201" fontId="11" fillId="7" borderId="20" xfId="0" applyNumberFormat="1" applyFont="1" applyFill="1" applyBorder="1" applyAlignment="1">
      <x:alignment horizontal="right"/>
    </x:xf>
    <x:xf numFmtId="201" fontId="4" fillId="7" borderId="11" xfId="0" applyNumberFormat="1" applyFont="1" applyFill="1" applyBorder="1" applyAlignment="1">
      <x:alignment horizontal="right"/>
    </x:xf>
    <x:xf numFmtId="201" fontId="4" fillId="7" borderId="0" xfId="0" applyNumberFormat="1" applyFont="1" applyFill="1" applyBorder="1" applyAlignment="1">
      <x:alignment horizontal="right"/>
    </x:xf>
    <x:xf numFmtId="201" fontId="4" fillId="7" borderId="12" xfId="0" applyNumberFormat="1" applyFont="1" applyFill="1" applyBorder="1" applyAlignment="1">
      <x:alignment horizontal="right"/>
    </x:xf>
    <x:xf numFmtId="201" fontId="4" fillId="7" borderId="19" xfId="0" applyNumberFormat="1" applyFont="1" applyFill="1" applyBorder="1" applyAlignment="1">
      <x:alignment horizontal="right"/>
    </x:xf>
    <x:xf numFmtId="201" fontId="4" fillId="7" borderId="1" xfId="0" applyNumberFormat="1" applyFont="1" applyFill="1" applyBorder="1" applyAlignment="1">
      <x:alignment horizontal="right"/>
    </x:xf>
    <x:xf numFmtId="201" fontId="4" fillId="7" borderId="20" xfId="0" applyNumberFormat="1" applyFont="1" applyFill="1" applyBorder="1" applyAlignment="1">
      <x:alignment horizontal="right"/>
    </x:xf>
    <x:xf numFmtId="201" fontId="12" fillId="7" borderId="11" xfId="0" applyNumberFormat="1" applyFont="1" applyFill="1" applyBorder="1" applyAlignment="1">
      <x:alignment horizontal="right"/>
    </x:xf>
    <x:xf numFmtId="201" fontId="12" fillId="7" borderId="0" xfId="0" applyNumberFormat="1" applyFont="1" applyFill="1" applyBorder="1" applyAlignment="1">
      <x:alignment horizontal="right"/>
    </x:xf>
    <x:xf numFmtId="201" fontId="12" fillId="7" borderId="12" xfId="0" applyNumberFormat="1" applyFont="1" applyFill="1" applyBorder="1" applyAlignment="1">
      <x:alignment horizontal="right"/>
    </x:xf>
    <x:xf numFmtId="201" fontId="12" fillId="7" borderId="19" xfId="0" applyNumberFormat="1" applyFont="1" applyFill="1" applyBorder="1" applyAlignment="1">
      <x:alignment horizontal="right"/>
    </x:xf>
    <x:xf numFmtId="201" fontId="12" fillId="7" borderId="1" xfId="0" applyNumberFormat="1" applyFont="1" applyFill="1" applyBorder="1" applyAlignment="1">
      <x:alignment horizontal="right"/>
    </x:xf>
    <x:xf numFmtId="201" fontId="12" fillId="7" borderId="20" xfId="0" applyNumberFormat="1" applyFont="1" applyFill="1" applyBorder="1" applyAlignment="1">
      <x:alignment horizontal="right"/>
    </x:xf>
    <x:xf numFmtId="0" fontId="4" fillId="6" borderId="3" xfId="0" applyNumberFormat="1" applyFont="1" applyFill="1" applyBorder="1" applyAlignment="1">
      <x:alignment wrapText="1"/>
    </x:xf>
    <x:xf numFmtId="201" fontId="12" fillId="6" borderId="11" xfId="0" applyNumberFormat="1" applyFont="1" applyFill="1" applyBorder="1" applyAlignment="1">
      <x:alignment horizontal="right"/>
    </x:xf>
    <x:xf numFmtId="201" fontId="12" fillId="6" borderId="0" xfId="0" applyNumberFormat="1" applyFont="1" applyFill="1" applyBorder="1" applyAlignment="1">
      <x:alignment horizontal="right"/>
    </x:xf>
    <x:xf numFmtId="201" fontId="12" fillId="6" borderId="12" xfId="0" applyNumberFormat="1" applyFont="1" applyFill="1" applyBorder="1" applyAlignment="1">
      <x:alignment horizontal="right"/>
    </x:xf>
    <x:xf numFmtId="0" fontId="4" fillId="6" borderId="6" xfId="0" applyNumberFormat="1" applyFont="1" applyFill="1" applyBorder="1" applyAlignment="1">
      <x:alignment wrapText="1"/>
    </x:xf>
    <x:xf numFmtId="201" fontId="12" fillId="6" borderId="19" xfId="0" applyNumberFormat="1" applyFont="1" applyFill="1" applyBorder="1" applyAlignment="1">
      <x:alignment horizontal="right"/>
    </x:xf>
    <x:xf numFmtId="201" fontId="12" fillId="6" borderId="1" xfId="0" applyNumberFormat="1" applyFont="1" applyFill="1" applyBorder="1" applyAlignment="1">
      <x:alignment horizontal="right"/>
    </x:xf>
    <x:xf numFmtId="201" fontId="12" fillId="6" borderId="20" xfId="0" applyNumberFormat="1" applyFont="1" applyFill="1" applyBorder="1" applyAlignment="1">
      <x:alignment horizontal="right"/>
    </x:xf>
    <x:xf numFmtId="201" fontId="4" fillId="6" borderId="11" xfId="0" applyNumberFormat="1" applyFont="1" applyFill="1" applyBorder="1" applyAlignment="1">
      <x:alignment horizontal="right"/>
    </x:xf>
    <x:xf numFmtId="201" fontId="4" fillId="6" borderId="0" xfId="0" applyNumberFormat="1" applyFont="1" applyFill="1" applyBorder="1" applyAlignment="1">
      <x:alignment horizontal="right"/>
    </x:xf>
    <x:xf numFmtId="201" fontId="4" fillId="6" borderId="12" xfId="0" applyNumberFormat="1" applyFont="1" applyFill="1" applyBorder="1" applyAlignment="1">
      <x:alignment horizontal="right"/>
    </x:xf>
    <x:xf numFmtId="201" fontId="4" fillId="6" borderId="19" xfId="0" applyNumberFormat="1" applyFont="1" applyFill="1" applyBorder="1" applyAlignment="1">
      <x:alignment horizontal="right"/>
    </x:xf>
    <x:xf numFmtId="201" fontId="4" fillId="6" borderId="1" xfId="0" applyNumberFormat="1" applyFont="1" applyFill="1" applyBorder="1" applyAlignment="1">
      <x:alignment horizontal="right"/>
    </x:xf>
    <x:xf numFmtId="201" fontId="4" fillId="6" borderId="20" xfId="0" applyNumberFormat="1" applyFont="1" applyFill="1" applyBorder="1" applyAlignment="1">
      <x:alignment horizontal="right"/>
    </x:xf>
    <x:xf numFmtId="203" fontId="12" fillId="6" borderId="11" xfId="0" applyNumberFormat="1" applyFont="1" applyFill="1" applyBorder="1" applyAlignment="1">
      <x:alignment horizontal="right"/>
    </x:xf>
    <x:xf numFmtId="203" fontId="12" fillId="6" borderId="0" xfId="0" applyNumberFormat="1" applyFont="1" applyFill="1" applyBorder="1" applyAlignment="1">
      <x:alignment horizontal="right"/>
    </x:xf>
    <x:xf numFmtId="203" fontId="12" fillId="6" borderId="12" xfId="0" applyNumberFormat="1" applyFont="1" applyFill="1" applyBorder="1" applyAlignment="1">
      <x:alignment horizontal="right"/>
    </x:xf>
    <x:xf numFmtId="203" fontId="12" fillId="6" borderId="19" xfId="0" applyNumberFormat="1" applyFont="1" applyFill="1" applyBorder="1" applyAlignment="1">
      <x:alignment horizontal="right"/>
    </x:xf>
    <x:xf numFmtId="203" fontId="12" fillId="6" borderId="1" xfId="0" applyNumberFormat="1" applyFont="1" applyFill="1" applyBorder="1" applyAlignment="1">
      <x:alignment horizontal="right"/>
    </x:xf>
    <x:xf numFmtId="203" fontId="12" fillId="6" borderId="20" xfId="0" applyNumberFormat="1" applyFont="1" applyFill="1" applyBorder="1" applyAlignment="1">
      <x:alignment horizontal="right"/>
    </x:xf>
    <x:xf numFmtId="203" fontId="4" fillId="6" borderId="11" xfId="0" applyNumberFormat="1" applyFont="1" applyFill="1" applyBorder="1" applyAlignment="1">
      <x:alignment horizontal="right"/>
    </x:xf>
    <x:xf numFmtId="203" fontId="4" fillId="6" borderId="0" xfId="0" applyNumberFormat="1" applyFont="1" applyFill="1" applyBorder="1" applyAlignment="1">
      <x:alignment horizontal="right"/>
    </x:xf>
    <x:xf numFmtId="203" fontId="4" fillId="6" borderId="12" xfId="0" applyNumberFormat="1" applyFont="1" applyFill="1" applyBorder="1" applyAlignment="1">
      <x:alignment horizontal="right"/>
    </x:xf>
    <x:xf numFmtId="203" fontId="4" fillId="6" borderId="19" xfId="0" applyNumberFormat="1" applyFont="1" applyFill="1" applyBorder="1" applyAlignment="1">
      <x:alignment horizontal="right"/>
    </x:xf>
    <x:xf numFmtId="203" fontId="4" fillId="6" borderId="1" xfId="0" applyNumberFormat="1" applyFont="1" applyFill="1" applyBorder="1" applyAlignment="1">
      <x:alignment horizontal="right"/>
    </x:xf>
    <x:xf numFmtId="203" fontId="4" fillId="6" borderId="20" xfId="0" applyNumberFormat="1" applyFont="1" applyFill="1" applyBorder="1" applyAlignment="1">
      <x:alignment horizontal="right"/>
    </x:xf>
    <x:xf numFmtId="0" fontId="4" fillId="6" borderId="4" xfId="0" applyNumberFormat="1" applyFont="1" applyFill="1" applyBorder="1" applyAlignment="1">
      <x:alignment wrapText="1"/>
    </x:xf>
    <x:xf numFmtId="0" fontId="13" fillId="6" borderId="13" xfId="0" applyNumberFormat="1" applyFont="1" applyFill="1" applyBorder="1" applyAlignment="1">
      <x:alignment horizontal="center"/>
    </x:xf>
    <x:xf numFmtId="0" fontId="12" fillId="6" borderId="14" xfId="0" applyNumberFormat="1" applyFont="1" applyFill="1" applyBorder="1" applyAlignment="1">
      <x:alignment horizontal="center"/>
    </x:xf>
    <x:xf numFmtId="0" fontId="12" fillId="6" borderId="15" xfId="0" applyNumberFormat="1" applyFont="1" applyFill="1" applyBorder="1" applyAlignment="1">
      <x:alignment horizontal="center"/>
    </x:xf>
    <x:xf numFmtId="0" fontId="4" fillId="6" borderId="7" xfId="0" applyNumberFormat="1" applyFont="1" applyFill="1" applyBorder="1" applyAlignment="1">
      <x:alignment wrapText="1"/>
    </x:xf>
    <x:xf numFmtId="0" fontId="13" fillId="6" borderId="21" xfId="0" applyNumberFormat="1" applyFont="1" applyFill="1" applyBorder="1" applyAlignment="1">
      <x:alignment horizontal="center"/>
    </x:xf>
    <x:xf numFmtId="0" fontId="12" fillId="6" borderId="22" xfId="0" applyNumberFormat="1" applyFont="1" applyFill="1" applyBorder="1" applyAlignment="1">
      <x:alignment horizontal="center"/>
    </x:xf>
    <x:xf numFmtId="0" fontId="12" fillId="6" borderId="23" xfId="0" applyNumberFormat="1" applyFont="1" applyFill="1" applyBorder="1" applyAlignment="1">
      <x:alignment horizontal="center"/>
    </x:xf>
    <x:xf numFmtId="0" fontId="4" fillId="6" borderId="13" xfId="0" applyNumberFormat="1" applyFont="1" applyFill="1" applyBorder="1" applyAlignment="1">
      <x:alignment horizontal="center"/>
    </x:xf>
    <x:xf numFmtId="0" fontId="4" fillId="6" borderId="14" xfId="0" applyNumberFormat="1" applyFont="1" applyFill="1" applyBorder="1" applyAlignment="1">
      <x:alignment horizontal="center"/>
    </x:xf>
    <x:xf numFmtId="0" fontId="4" fillId="6" borderId="15" xfId="0" applyNumberFormat="1" applyFont="1" applyFill="1" applyBorder="1" applyAlignment="1">
      <x:alignment horizontal="center"/>
    </x:xf>
    <x:xf numFmtId="0" fontId="4" fillId="6" borderId="21" xfId="0" applyNumberFormat="1" applyFont="1" applyFill="1" applyBorder="1" applyAlignment="1">
      <x:alignment horizontal="center"/>
    </x:xf>
    <x:xf numFmtId="0" fontId="4" fillId="6" borderId="22" xfId="0" applyNumberFormat="1" applyFont="1" applyFill="1" applyBorder="1" applyAlignment="1">
      <x:alignment horizontal="center"/>
    </x:xf>
    <x:xf numFmtId="0" fontId="4" fillId="6" borderId="23" xfId="0" applyNumberFormat="1" applyFont="1" applyFill="1" applyBorder="1" applyAlignment="1">
      <x:alignment horizontal="center"/>
    </x:xf>
    <x:xf numFmtId="0" fontId="4" fillId="6" borderId="0" xfId="0" applyNumberFormat="1" applyFont="1" applyFill="1" applyBorder="1"/>
    <x:xf numFmtId="0" fontId="4" fillId="6" borderId="0" xfId="0" applyNumberFormat="1" applyFont="1" applyFill="1" applyBorder="1" applyAlignment="1">
      <x:alignment horizontal="left"/>
    </x:xf>
    <x:xf numFmtId="0" fontId="4" fillId="6" borderId="0" xfId="0" applyNumberFormat="1" applyFont="1" applyFill="1" applyBorder="1" applyAlignment="1">
      <x:alignment horizontal="left" vertical="center"/>
    </x:xf>
    <x:xf numFmtId="0" fontId="4" fillId="6" borderId="1" xfId="0" applyNumberFormat="1" applyFont="1" applyFill="1" applyBorder="1"/>
    <x:xf numFmtId="0" fontId="4" fillId="6" borderId="1" xfId="0" applyNumberFormat="1" applyFont="1" applyFill="1" applyBorder="1" applyAlignment="1">
      <x:alignment horizontal="left"/>
    </x:xf>
    <x:xf numFmtId="0" fontId="4" fillId="6" borderId="1" xfId="0" applyNumberFormat="1" applyFont="1" applyFill="1" applyBorder="1" applyAlignment="1">
      <x:alignment horizontal="left" vertical="center"/>
    </x:xf>
    <x:xf numFmtId="202" fontId="10" fillId="0" borderId="0" xfId="0" applyNumberFormat="1" applyFont="1" applyFill="1" applyBorder="1"/>
    <x:xf numFmtId="202" fontId="10" fillId="0" borderId="1" xfId="0" applyNumberFormat="1" applyFont="1" applyFill="1" applyBorder="1"/>
    <x:xf numFmtId="203" fontId="10" fillId="0" borderId="0" xfId="0" applyNumberFormat="1" applyFont="1" applyFill="1" applyBorder="1"/>
    <x:xf numFmtId="203" fontId="10" fillId="0" borderId="1" xfId="0" applyNumberFormat="1" applyFont="1" applyFill="1" applyBorder="1"/>
    <x:xf numFmtId="201" fontId="10" fillId="0" borderId="0" xfId="0" applyNumberFormat="1" applyFont="1" applyFill="1" applyBorder="1"/>
    <x:xf numFmtId="201" fontId="10" fillId="0" borderId="1" xfId="0" applyNumberFormat="1" applyFont="1" applyFill="1" applyBorder="1"/>
    <x:xf numFmtId="202" fontId="10" fillId="0" borderId="8" xfId="0" applyNumberFormat="1" applyFont="1" applyFill="1" applyBorder="1"/>
    <x:xf numFmtId="202" fontId="10" fillId="0" borderId="9" xfId="0" applyNumberFormat="1" applyFont="1" applyFill="1" applyBorder="1"/>
    <x:xf numFmtId="202" fontId="10" fillId="0" borderId="10" xfId="0" applyNumberFormat="1" applyFont="1" applyFill="1" applyBorder="1"/>
    <x:xf numFmtId="202" fontId="10" fillId="0" borderId="11" xfId="0" applyNumberFormat="1" applyFont="1" applyFill="1" applyBorder="1"/>
    <x:xf numFmtId="202" fontId="10" fillId="0" borderId="12" xfId="0" applyNumberFormat="1" applyFont="1" applyFill="1" applyBorder="1"/>
    <x:xf numFmtId="203" fontId="10" fillId="0" borderId="11" xfId="0" applyNumberFormat="1" applyFont="1" applyFill="1" applyBorder="1"/>
    <x:xf numFmtId="203" fontId="10" fillId="0" borderId="12" xfId="0" applyNumberFormat="1" applyFont="1" applyFill="1" applyBorder="1"/>
    <x:xf numFmtId="201" fontId="10" fillId="0" borderId="11" xfId="0" applyNumberFormat="1" applyFont="1" applyFill="1" applyBorder="1"/>
    <x:xf numFmtId="201" fontId="10" fillId="0" borderId="12" xfId="0" applyNumberFormat="1" applyFont="1" applyFill="1" applyBorder="1"/>
    <x:xf numFmtId="0" fontId="10" fillId="0" borderId="13" xfId="0" applyNumberFormat="1" applyFont="1" applyFill="1" applyBorder="1"/>
    <x:xf numFmtId="0" fontId="10" fillId="0" borderId="14" xfId="0" applyNumberFormat="1" applyFont="1" applyFill="1" applyBorder="1"/>
    <x:xf numFmtId="0" fontId="10" fillId="0" borderId="15" xfId="0" applyNumberFormat="1" applyFont="1" applyFill="1" applyBorder="1"/>
    <x:xf numFmtId="202" fontId="10" fillId="0" borderId="16" xfId="0" applyNumberFormat="1" applyFont="1" applyFill="1" applyBorder="1"/>
    <x:xf numFmtId="202" fontId="10" fillId="0" borderId="17" xfId="0" applyNumberFormat="1" applyFont="1" applyFill="1" applyBorder="1"/>
    <x:xf numFmtId="202" fontId="10" fillId="0" borderId="18" xfId="0" applyNumberFormat="1" applyFont="1" applyFill="1" applyBorder="1"/>
    <x:xf numFmtId="202" fontId="10" fillId="0" borderId="19" xfId="0" applyNumberFormat="1" applyFont="1" applyFill="1" applyBorder="1"/>
    <x:xf numFmtId="202" fontId="10" fillId="0" borderId="20" xfId="0" applyNumberFormat="1" applyFont="1" applyFill="1" applyBorder="1"/>
    <x:xf numFmtId="203" fontId="10" fillId="0" borderId="19" xfId="0" applyNumberFormat="1" applyFont="1" applyFill="1" applyBorder="1"/>
    <x:xf numFmtId="203" fontId="10" fillId="0" borderId="20" xfId="0" applyNumberFormat="1" applyFont="1" applyFill="1" applyBorder="1"/>
    <x:xf numFmtId="201" fontId="10" fillId="0" borderId="19" xfId="0" applyNumberFormat="1" applyFont="1" applyFill="1" applyBorder="1"/>
    <x:xf numFmtId="201" fontId="10" fillId="0" borderId="20" xfId="0" applyNumberFormat="1" applyFont="1" applyFill="1" applyBorder="1"/>
    <x:xf numFmtId="0" fontId="10" fillId="0" borderId="21" xfId="0" applyNumberFormat="1" applyFont="1" applyFill="1" applyBorder="1"/>
    <x:xf numFmtId="0" fontId="10" fillId="0" borderId="22" xfId="0" applyNumberFormat="1" applyFont="1" applyFill="1" applyBorder="1"/>
    <x:xf numFmtId="0" fontId="10" fillId="0" borderId="23" xfId="0" applyNumberFormat="1" applyFont="1" applyFill="1" applyBorder="1"/>
    <x:xf numFmtId="202" fontId="10" fillId="0" borderId="11" xfId="0" applyNumberFormat="1" applyFont="1" applyFill="1" applyBorder="1" applyAlignment="1">
      <x:alignment horizontal="right"/>
    </x:xf>
    <x:xf numFmtId="202" fontId="10" fillId="0" borderId="0" xfId="0" applyNumberFormat="1" applyFont="1" applyFill="1" applyBorder="1" applyAlignment="1">
      <x:alignment horizontal="right"/>
    </x:xf>
    <x:xf numFmtId="202" fontId="10" fillId="0" borderId="12" xfId="0" applyNumberFormat="1" applyFont="1" applyFill="1" applyBorder="1" applyAlignment="1">
      <x:alignment horizontal="right"/>
    </x:xf>
    <x:xf numFmtId="0" fontId="10" fillId="0" borderId="13" xfId="0" applyNumberFormat="1" applyFont="1" applyFill="1" applyBorder="1" applyAlignment="1">
      <x:alignment horizontal="right"/>
    </x:xf>
    <x:xf numFmtId="0" fontId="10" fillId="0" borderId="14" xfId="0" applyNumberFormat="1" applyFont="1" applyFill="1" applyBorder="1" applyAlignment="1">
      <x:alignment horizontal="right"/>
    </x:xf>
    <x:xf numFmtId="0" fontId="10" fillId="0" borderId="15" xfId="0" applyNumberFormat="1" applyFont="1" applyFill="1" applyBorder="1" applyAlignment="1">
      <x:alignment horizontal="right"/>
    </x:xf>
    <x:xf numFmtId="202" fontId="10" fillId="0" borderId="19" xfId="0" applyNumberFormat="1" applyFont="1" applyFill="1" applyBorder="1" applyAlignment="1">
      <x:alignment horizontal="right"/>
    </x:xf>
    <x:xf numFmtId="202" fontId="10" fillId="0" borderId="1" xfId="0" applyNumberFormat="1" applyFont="1" applyFill="1" applyBorder="1" applyAlignment="1">
      <x:alignment horizontal="right"/>
    </x:xf>
    <x:xf numFmtId="202" fontId="10" fillId="0" borderId="20" xfId="0" applyNumberFormat="1" applyFont="1" applyFill="1" applyBorder="1" applyAlignment="1">
      <x:alignment horizontal="right"/>
    </x:xf>
    <x:xf numFmtId="0" fontId="10" fillId="0" borderId="21" xfId="0" applyNumberFormat="1" applyFont="1" applyFill="1" applyBorder="1" applyAlignment="1">
      <x:alignment horizontal="right"/>
    </x:xf>
    <x:xf numFmtId="0" fontId="10" fillId="0" borderId="22" xfId="0" applyNumberFormat="1" applyFont="1" applyFill="1" applyBorder="1" applyAlignment="1">
      <x:alignment horizontal="right"/>
    </x:xf>
    <x:xf numFmtId="0" fontId="10" fillId="0" borderId="23" xfId="0" applyNumberFormat="1" applyFont="1" applyFill="1" applyBorder="1" applyAlignment="1">
      <x:alignment horizontal="right"/>
    </x:xf>
    <x:xf numFmtId="0" fontId="9" fillId="6" borderId="3" xfId="0" applyNumberFormat="1" applyFont="1" applyFill="1" applyBorder="1"/>
    <x:xf numFmtId="201" fontId="10" fillId="6" borderId="11" xfId="0" applyNumberFormat="1" applyFont="1" applyFill="1" applyBorder="1" applyAlignment="1">
      <x:alignment horizontal="right"/>
    </x:xf>
    <x:xf numFmtId="201" fontId="10" fillId="6" borderId="0" xfId="0" applyNumberFormat="1" applyFont="1" applyFill="1" applyBorder="1" applyAlignment="1">
      <x:alignment horizontal="right"/>
    </x:xf>
    <x:xf numFmtId="201" fontId="10" fillId="6" borderId="12" xfId="0" applyNumberFormat="1" applyFont="1" applyFill="1" applyBorder="1" applyAlignment="1">
      <x:alignment horizontal="right"/>
    </x:xf>
    <x:xf numFmtId="0" fontId="4" fillId="6" borderId="3" xfId="0" applyNumberFormat="1" applyFont="1" applyFill="1" applyBorder="1"/>
    <x:xf numFmtId="0" fontId="4" fillId="6" borderId="24" xfId="0" applyNumberFormat="1" applyFont="1" applyFill="1" applyBorder="1"/>
    <x:xf numFmtId="201" fontId="4" fillId="6" borderId="25" xfId="0" applyNumberFormat="1" applyFont="1" applyFill="1" applyBorder="1" applyAlignment="1">
      <x:alignment horizontal="right"/>
    </x:xf>
    <x:xf numFmtId="201" fontId="4" fillId="6" borderId="26" xfId="0" applyNumberFormat="1" applyFont="1" applyFill="1" applyBorder="1" applyAlignment="1">
      <x:alignment horizontal="right"/>
    </x:xf>
    <x:xf numFmtId="201" fontId="4" fillId="6" borderId="27" xfId="0" applyNumberFormat="1" applyFont="1" applyFill="1" applyBorder="1" applyAlignment="1">
      <x:alignment horizontal="right"/>
    </x:xf>
    <x:xf numFmtId="0" fontId="9" fillId="6" borderId="6" xfId="0" applyNumberFormat="1" applyFont="1" applyFill="1" applyBorder="1"/>
    <x:xf numFmtId="201" fontId="10" fillId="6" borderId="19" xfId="0" applyNumberFormat="1" applyFont="1" applyFill="1" applyBorder="1" applyAlignment="1">
      <x:alignment horizontal="right"/>
    </x:xf>
    <x:xf numFmtId="201" fontId="10" fillId="6" borderId="1" xfId="0" applyNumberFormat="1" applyFont="1" applyFill="1" applyBorder="1" applyAlignment="1">
      <x:alignment horizontal="right"/>
    </x:xf>
    <x:xf numFmtId="201" fontId="10" fillId="6" borderId="20" xfId="0" applyNumberFormat="1" applyFont="1" applyFill="1" applyBorder="1" applyAlignment="1">
      <x:alignment horizontal="right"/>
    </x:xf>
    <x:xf numFmtId="0" fontId="4" fillId="6" borderId="6" xfId="0" applyNumberFormat="1" applyFont="1" applyFill="1" applyBorder="1"/>
    <x:xf numFmtId="0" fontId="4" fillId="6" borderId="28" xfId="0" applyNumberFormat="1" applyFont="1" applyFill="1" applyBorder="1"/>
    <x:xf numFmtId="201" fontId="4" fillId="6" borderId="29" xfId="0" applyNumberFormat="1" applyFont="1" applyFill="1" applyBorder="1" applyAlignment="1">
      <x:alignment horizontal="right"/>
    </x:xf>
    <x:xf numFmtId="201" fontId="4" fillId="6" borderId="30" xfId="0" applyNumberFormat="1" applyFont="1" applyFill="1" applyBorder="1" applyAlignment="1">
      <x:alignment horizontal="right"/>
    </x:xf>
    <x:xf numFmtId="201" fontId="4" fillId="6" borderId="31" xfId="0" applyNumberFormat="1" applyFont="1" applyFill="1" applyBorder="1" applyAlignment="1">
      <x:alignment horizontal="right"/>
    </x:xf>
    <x:xf numFmtId="201" fontId="14" fillId="6" borderId="25" xfId="0" applyNumberFormat="1" applyFont="1" applyFill="1" applyBorder="1" applyAlignment="1">
      <x:alignment horizontal="right"/>
    </x:xf>
    <x:xf numFmtId="201" fontId="14" fillId="6" borderId="26" xfId="0" applyNumberFormat="1" applyFont="1" applyFill="1" applyBorder="1" applyAlignment="1">
      <x:alignment horizontal="right"/>
    </x:xf>
    <x:xf numFmtId="201" fontId="14" fillId="6" borderId="27" xfId="0" applyNumberFormat="1" applyFont="1" applyFill="1" applyBorder="1" applyAlignment="1">
      <x:alignment horizontal="right"/>
    </x:xf>
    <x:xf numFmtId="201" fontId="14" fillId="6" borderId="29" xfId="0" applyNumberFormat="1" applyFont="1" applyFill="1" applyBorder="1" applyAlignment="1">
      <x:alignment horizontal="right"/>
    </x:xf>
    <x:xf numFmtId="201" fontId="14" fillId="6" borderId="30" xfId="0" applyNumberFormat="1" applyFont="1" applyFill="1" applyBorder="1" applyAlignment="1">
      <x:alignment horizontal="right"/>
    </x:xf>
    <x:xf numFmtId="201" fontId="14" fillId="6" borderId="31" xfId="0" applyNumberFormat="1" applyFont="1" applyFill="1" applyBorder="1" applyAlignment="1">
      <x:alignment horizontal="right"/>
    </x:xf>
    <x:xf numFmtId="0" fontId="9" fillId="7" borderId="3" xfId="0" applyNumberFormat="1" applyFont="1" applyFill="1" applyBorder="1"/>
    <x:xf numFmtId="201" fontId="10" fillId="7" borderId="11" xfId="0" applyNumberFormat="1" applyFont="1" applyFill="1" applyBorder="1" applyAlignment="1">
      <x:alignment horizontal="right"/>
    </x:xf>
    <x:xf numFmtId="201" fontId="10" fillId="7" borderId="0" xfId="0" applyNumberFormat="1" applyFont="1" applyFill="1" applyBorder="1" applyAlignment="1">
      <x:alignment horizontal="right"/>
    </x:xf>
    <x:xf numFmtId="201" fontId="10" fillId="7" borderId="12" xfId="0" applyNumberFormat="1" applyFont="1" applyFill="1" applyBorder="1" applyAlignment="1">
      <x:alignment horizontal="right"/>
    </x:xf>
    <x:xf numFmtId="203" fontId="10" fillId="7" borderId="11" xfId="0" applyNumberFormat="1" applyFont="1" applyFill="1" applyBorder="1" applyAlignment="1">
      <x:alignment horizontal="right"/>
    </x:xf>
    <x:xf numFmtId="203" fontId="10" fillId="7" borderId="0" xfId="0" applyNumberFormat="1" applyFont="1" applyFill="1" applyBorder="1" applyAlignment="1">
      <x:alignment horizontal="right"/>
    </x:xf>
    <x:xf numFmtId="203" fontId="10" fillId="7" borderId="12" xfId="0" applyNumberFormat="1" applyFont="1" applyFill="1" applyBorder="1" applyAlignment="1">
      <x:alignment horizontal="right"/>
    </x:xf>
    <x:xf numFmtId="0" fontId="9" fillId="7" borderId="6" xfId="0" applyNumberFormat="1" applyFont="1" applyFill="1" applyBorder="1"/>
    <x:xf numFmtId="201" fontId="10" fillId="7" borderId="19" xfId="0" applyNumberFormat="1" applyFont="1" applyFill="1" applyBorder="1" applyAlignment="1">
      <x:alignment horizontal="right"/>
    </x:xf>
    <x:xf numFmtId="201" fontId="10" fillId="7" borderId="1" xfId="0" applyNumberFormat="1" applyFont="1" applyFill="1" applyBorder="1" applyAlignment="1">
      <x:alignment horizontal="right"/>
    </x:xf>
    <x:xf numFmtId="201" fontId="10" fillId="7" borderId="20" xfId="0" applyNumberFormat="1" applyFont="1" applyFill="1" applyBorder="1" applyAlignment="1">
      <x:alignment horizontal="right"/>
    </x:xf>
    <x:xf numFmtId="203" fontId="10" fillId="7" borderId="19" xfId="0" applyNumberFormat="1" applyFont="1" applyFill="1" applyBorder="1" applyAlignment="1">
      <x:alignment horizontal="right"/>
    </x:xf>
    <x:xf numFmtId="203" fontId="10" fillId="7" borderId="1" xfId="0" applyNumberFormat="1" applyFont="1" applyFill="1" applyBorder="1" applyAlignment="1">
      <x:alignment horizontal="right"/>
    </x:xf>
    <x:xf numFmtId="203" fontId="10" fillId="7" borderId="20" xfId="0" applyNumberFormat="1" applyFont="1" applyFill="1" applyBorder="1" applyAlignment="1">
      <x:alignment horizontal="right"/>
    </x:xf>
    <x:xf numFmtId="0" fontId="4" fillId="7" borderId="3" xfId="0" applyNumberFormat="1" applyFont="1" applyFill="1" applyBorder="1"/>
    <x:xf numFmtId="203" fontId="4" fillId="7" borderId="11" xfId="0" applyNumberFormat="1" applyFont="1" applyFill="1" applyBorder="1" applyAlignment="1">
      <x:alignment horizontal="right"/>
    </x:xf>
    <x:xf numFmtId="203" fontId="4" fillId="7" borderId="0" xfId="0" applyNumberFormat="1" applyFont="1" applyFill="1" applyBorder="1" applyAlignment="1">
      <x:alignment horizontal="right"/>
    </x:xf>
    <x:xf numFmtId="203" fontId="4" fillId="7" borderId="12" xfId="0" applyNumberFormat="1" applyFont="1" applyFill="1" applyBorder="1" applyAlignment="1">
      <x:alignment horizontal="right"/>
    </x:xf>
    <x:xf numFmtId="0" fontId="4" fillId="7" borderId="6" xfId="0" applyNumberFormat="1" applyFont="1" applyFill="1" applyBorder="1"/>
    <x:xf numFmtId="203" fontId="4" fillId="7" borderId="19" xfId="0" applyNumberFormat="1" applyFont="1" applyFill="1" applyBorder="1" applyAlignment="1">
      <x:alignment horizontal="right"/>
    </x:xf>
    <x:xf numFmtId="203" fontId="4" fillId="7" borderId="1" xfId="0" applyNumberFormat="1" applyFont="1" applyFill="1" applyBorder="1" applyAlignment="1">
      <x:alignment horizontal="right"/>
    </x:xf>
    <x:xf numFmtId="203" fontId="4" fillId="7" borderId="20" xfId="0" applyNumberFormat="1" applyFont="1" applyFill="1" applyBorder="1" applyAlignment="1">
      <x:alignment horizontal="right"/>
    </x:xf>
    <x:xf numFmtId="201" fontId="14" fillId="7" borderId="11" xfId="0" applyNumberFormat="1" applyFont="1" applyFill="1" applyBorder="1" applyAlignment="1">
      <x:alignment horizontal="right"/>
    </x:xf>
    <x:xf numFmtId="201" fontId="14" fillId="7" borderId="0" xfId="0" applyNumberFormat="1" applyFont="1" applyFill="1" applyBorder="1" applyAlignment="1">
      <x:alignment horizontal="right"/>
    </x:xf>
    <x:xf numFmtId="201" fontId="14" fillId="7" borderId="12" xfId="0" applyNumberFormat="1" applyFont="1" applyFill="1" applyBorder="1" applyAlignment="1">
      <x:alignment horizontal="right"/>
    </x:xf>
    <x:xf numFmtId="203" fontId="14" fillId="7" borderId="11" xfId="0" applyNumberFormat="1" applyFont="1" applyFill="1" applyBorder="1" applyAlignment="1">
      <x:alignment horizontal="right"/>
    </x:xf>
    <x:xf numFmtId="203" fontId="14" fillId="7" borderId="0" xfId="0" applyNumberFormat="1" applyFont="1" applyFill="1" applyBorder="1" applyAlignment="1">
      <x:alignment horizontal="right"/>
    </x:xf>
    <x:xf numFmtId="203" fontId="14" fillId="7" borderId="12" xfId="0" applyNumberFormat="1" applyFont="1" applyFill="1" applyBorder="1" applyAlignment="1">
      <x:alignment horizontal="right"/>
    </x:xf>
    <x:xf numFmtId="201" fontId="14" fillId="7" borderId="19" xfId="0" applyNumberFormat="1" applyFont="1" applyFill="1" applyBorder="1" applyAlignment="1">
      <x:alignment horizontal="right"/>
    </x:xf>
    <x:xf numFmtId="201" fontId="14" fillId="7" borderId="1" xfId="0" applyNumberFormat="1" applyFont="1" applyFill="1" applyBorder="1" applyAlignment="1">
      <x:alignment horizontal="right"/>
    </x:xf>
    <x:xf numFmtId="201" fontId="14" fillId="7" borderId="20" xfId="0" applyNumberFormat="1" applyFont="1" applyFill="1" applyBorder="1" applyAlignment="1">
      <x:alignment horizontal="right"/>
    </x:xf>
    <x:xf numFmtId="203" fontId="14" fillId="7" borderId="19" xfId="0" applyNumberFormat="1" applyFont="1" applyFill="1" applyBorder="1" applyAlignment="1">
      <x:alignment horizontal="right"/>
    </x:xf>
    <x:xf numFmtId="203" fontId="14" fillId="7" borderId="1" xfId="0" applyNumberFormat="1" applyFont="1" applyFill="1" applyBorder="1" applyAlignment="1">
      <x:alignment horizontal="right"/>
    </x:xf>
    <x:xf numFmtId="203" fontId="14" fillId="7" borderId="20" xfId="0" applyNumberFormat="1" applyFont="1" applyFill="1" applyBorder="1" applyAlignment="1">
      <x:alignment horizontal="right"/>
    </x:xf>
    <x:xf numFmtId="0" fontId="9" fillId="5" borderId="4" xfId="0" applyNumberFormat="1" applyFont="1" applyFill="1" applyBorder="1"/>
    <x:xf numFmtId="0" fontId="10" fillId="5" borderId="13" xfId="0" applyNumberFormat="1" applyFont="1" applyFill="1" applyBorder="1" applyAlignment="1">
      <x:alignment horizontal="right"/>
    </x:xf>
    <x:xf numFmtId="0" fontId="10" fillId="5" borderId="14" xfId="0" applyNumberFormat="1" applyFont="1" applyFill="1" applyBorder="1" applyAlignment="1">
      <x:alignment horizontal="right"/>
    </x:xf>
    <x:xf numFmtId="0" fontId="10" fillId="5" borderId="15" xfId="0" applyNumberFormat="1" applyFont="1" applyFill="1" applyBorder="1" applyAlignment="1">
      <x:alignment horizontal="right"/>
    </x:xf>
    <x:xf numFmtId="0" fontId="9" fillId="5" borderId="7" xfId="0" applyNumberFormat="1" applyFont="1" applyFill="1" applyBorder="1"/>
    <x:xf numFmtId="0" fontId="10" fillId="5" borderId="21" xfId="0" applyNumberFormat="1" applyFont="1" applyFill="1" applyBorder="1" applyAlignment="1">
      <x:alignment horizontal="right"/>
    </x:xf>
    <x:xf numFmtId="0" fontId="10" fillId="5" borderId="22" xfId="0" applyNumberFormat="1" applyFont="1" applyFill="1" applyBorder="1" applyAlignment="1">
      <x:alignment horizontal="right"/>
    </x:xf>
    <x:xf numFmtId="0" fontId="10" fillId="5" borderId="23" xfId="0" applyNumberFormat="1" applyFont="1" applyFill="1" applyBorder="1" applyAlignment="1">
      <x:alignment horizontal="right"/>
    </x:xf>
    <x:xf numFmtId="0" fontId="4" fillId="5" borderId="4" xfId="0" applyNumberFormat="1" applyFont="1" applyFill="1" applyBorder="1"/>
    <x:xf numFmtId="0" fontId="4" fillId="5" borderId="13" xfId="0" applyNumberFormat="1" applyFont="1" applyFill="1" applyBorder="1" applyAlignment="1">
      <x:alignment horizontal="right"/>
    </x:xf>
    <x:xf numFmtId="0" fontId="4" fillId="5" borderId="14" xfId="0" applyNumberFormat="1" applyFont="1" applyFill="1" applyBorder="1" applyAlignment="1">
      <x:alignment horizontal="right"/>
    </x:xf>
    <x:xf numFmtId="0" fontId="4" fillId="5" borderId="15" xfId="0" applyNumberFormat="1" applyFont="1" applyFill="1" applyBorder="1" applyAlignment="1">
      <x:alignment horizontal="right"/>
    </x:xf>
    <x:xf numFmtId="0" fontId="4" fillId="5" borderId="7" xfId="0" applyNumberFormat="1" applyFont="1" applyFill="1" applyBorder="1"/>
    <x:xf numFmtId="0" fontId="4" fillId="5" borderId="21" xfId="0" applyNumberFormat="1" applyFont="1" applyFill="1" applyBorder="1" applyAlignment="1">
      <x:alignment horizontal="right"/>
    </x:xf>
    <x:xf numFmtId="0" fontId="4" fillId="5" borderId="22" xfId="0" applyNumberFormat="1" applyFont="1" applyFill="1" applyBorder="1" applyAlignment="1">
      <x:alignment horizontal="right"/>
    </x:xf>
    <x:xf numFmtId="0" fontId="4" fillId="5" borderId="23" xfId="0" applyNumberFormat="1" applyFont="1" applyFill="1" applyBorder="1" applyAlignment="1">
      <x:alignment horizontal="right"/>
    </x:xf>
    <x:xf numFmtId="0" fontId="14" fillId="5" borderId="13" xfId="0" applyNumberFormat="1" applyFont="1" applyFill="1" applyBorder="1" applyAlignment="1">
      <x:alignment horizontal="right"/>
    </x:xf>
    <x:xf numFmtId="0" fontId="14" fillId="5" borderId="14" xfId="0" applyNumberFormat="1" applyFont="1" applyFill="1" applyBorder="1" applyAlignment="1">
      <x:alignment horizontal="right"/>
    </x:xf>
    <x:xf numFmtId="0" fontId="14" fillId="5" borderId="15" xfId="0" applyNumberFormat="1" applyFont="1" applyFill="1" applyBorder="1" applyAlignment="1">
      <x:alignment horizontal="right"/>
    </x:xf>
    <x:xf numFmtId="0" fontId="14" fillId="5" borderId="21" xfId="0" applyNumberFormat="1" applyFont="1" applyFill="1" applyBorder="1" applyAlignment="1">
      <x:alignment horizontal="right"/>
    </x:xf>
    <x:xf numFmtId="0" fontId="14" fillId="5" borderId="22" xfId="0" applyNumberFormat="1" applyFont="1" applyFill="1" applyBorder="1" applyAlignment="1">
      <x:alignment horizontal="right"/>
    </x:xf>
    <x:xf numFmtId="0" fontId="14" fillId="5" borderId="23" xfId="0" applyNumberFormat="1" applyFont="1" applyFill="1" applyBorder="1" applyAlignment="1">
      <x:alignment horizontal="right"/>
    </x:xf>
    <x:xf numFmtId="0" fontId="14" fillId="5" borderId="13" xfId="0" applyNumberFormat="1" applyFont="1" applyFill="1" applyBorder="1" applyAlignment="1">
      <x:alignment horizontal="center"/>
    </x:xf>
    <x:xf numFmtId="0" fontId="14" fillId="5" borderId="14" xfId="0" applyNumberFormat="1" applyFont="1" applyFill="1" applyBorder="1" applyAlignment="1">
      <x:alignment horizontal="center"/>
    </x:xf>
    <x:xf numFmtId="0" fontId="14" fillId="5" borderId="15" xfId="0" applyNumberFormat="1" applyFont="1" applyFill="1" applyBorder="1" applyAlignment="1">
      <x:alignment horizontal="center"/>
    </x:xf>
    <x:xf numFmtId="0" fontId="14" fillId="5" borderId="21" xfId="0" applyNumberFormat="1" applyFont="1" applyFill="1" applyBorder="1" applyAlignment="1">
      <x:alignment horizontal="center"/>
    </x:xf>
    <x:xf numFmtId="0" fontId="14" fillId="5" borderId="22" xfId="0" applyNumberFormat="1" applyFont="1" applyFill="1" applyBorder="1" applyAlignment="1">
      <x:alignment horizontal="center"/>
    </x:xf>
    <x:xf numFmtId="0" fontId="14" fillId="5" borderId="23" xfId="0" applyNumberFormat="1" applyFont="1" applyFill="1" applyBorder="1" applyAlignment="1">
      <x:alignment horizont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3" fillId="3" borderId="8" xfId="0" applyNumberFormat="1" applyFont="1" applyFill="1" applyBorder="1"/>
    <x:xf numFmtId="0" fontId="3" fillId="3" borderId="9" xfId="0" applyNumberFormat="1" applyFont="1" applyFill="1" applyBorder="1"/>
    <x:xf numFmtId="0" fontId="3" fillId="3" borderId="10" xfId="0" applyNumberFormat="1" applyFont="1" applyFill="1" applyBorder="1"/>
    <x:xf numFmtId="0" fontId="3" fillId="3" borderId="8" xfId="0" applyNumberFormat="1" applyFont="1" applyFill="1" applyBorder="1" applyAlignment="1">
      <x:alignment wrapText="1"/>
    </x:xf>
    <x:xf numFmtId="0" fontId="3" fillId="3" borderId="9" xfId="0" applyNumberFormat="1" applyFont="1" applyFill="1" applyBorder="1" applyAlignment="1">
      <x:alignment wrapText="1"/>
    </x:xf>
    <x:xf numFmtId="0" fontId="3" fillId="3" borderId="10" xfId="0" applyNumberFormat="1" applyFont="1" applyFill="1" applyBorder="1" applyAlignment="1">
      <x:alignment wrapText="1"/>
    </x:xf>
    <x:xf numFmtId="0" fontId="3" fillId="3" borderId="8" xfId="0" applyNumberFormat="1" applyFont="1" applyFill="1" applyBorder="1" applyAlignment="1">
      <x:alignment horizontal="center" wrapText="1"/>
    </x:xf>
    <x:xf numFmtId="0" fontId="3" fillId="3" borderId="9" xfId="0" applyNumberFormat="1" applyFont="1" applyFill="1" applyBorder="1" applyAlignment="1">
      <x:alignment horizontal="center" wrapText="1"/>
    </x:xf>
    <x:xf numFmtId="0" fontId="3" fillId="3" borderId="10" xfId="0" applyNumberFormat="1" applyFont="1" applyFill="1" applyBorder="1" applyAlignment="1">
      <x:alignment horizontal="center" wrapText="1"/>
    </x:xf>
    <x:xf numFmtId="0" fontId="3" fillId="3" borderId="8" xfId="0" applyNumberFormat="1" applyFont="1" applyFill="1" applyBorder="1" applyAlignment="1">
      <x:alignment horizontal="center" vertical="center" wrapText="1"/>
    </x:xf>
    <x:xf numFmtId="0" fontId="3" fillId="3" borderId="9" xfId="0" applyNumberFormat="1" applyFont="1" applyFill="1" applyBorder="1" applyAlignment="1">
      <x:alignment horizontal="center" vertical="center" wrapText="1"/>
    </x:xf>
    <x:xf numFmtId="0" fontId="3" fillId="3" borderId="10" xfId="0" applyNumberFormat="1" applyFont="1" applyFill="1" applyBorder="1" applyAlignment="1">
      <x:alignment horizontal="center" vertical="center" wrapText="1"/>
    </x:xf>
    <x:xf numFmtId="0" fontId="0" fillId="3" borderId="16" xfId="0" applyNumberFormat="1" applyFont="1" applyFill="1" applyBorder="1"/>
    <x:xf numFmtId="0" fontId="0" fillId="3" borderId="17" xfId="0" applyNumberFormat="1" applyFont="1" applyFill="1" applyBorder="1"/>
    <x:xf numFmtId="0" fontId="0" fillId="3" borderId="18" xfId="0" applyNumberFormat="1" applyFont="1" applyFill="1" applyBorder="1"/>
    <x:xf numFmtId="0" fontId="3" fillId="3" borderId="16" xfId="0" applyNumberFormat="1" applyFont="1" applyFill="1" applyBorder="1"/>
    <x:xf numFmtId="0" fontId="3" fillId="3" borderId="17" xfId="0" applyNumberFormat="1" applyFont="1" applyFill="1" applyBorder="1"/>
    <x:xf numFmtId="0" fontId="3" fillId="3" borderId="18" xfId="0" applyNumberFormat="1" applyFont="1" applyFill="1" applyBorder="1"/>
    <x:xf numFmtId="0" fontId="3" fillId="3" borderId="16" xfId="0" applyNumberFormat="1" applyFont="1" applyFill="1" applyBorder="1" applyAlignment="1">
      <x:alignment wrapText="1"/>
    </x:xf>
    <x:xf numFmtId="0" fontId="3" fillId="3" borderId="17" xfId="0" applyNumberFormat="1" applyFont="1" applyFill="1" applyBorder="1" applyAlignment="1">
      <x:alignment wrapText="1"/>
    </x:xf>
    <x:xf numFmtId="0" fontId="3" fillId="3" borderId="18" xfId="0" applyNumberFormat="1" applyFont="1" applyFill="1" applyBorder="1" applyAlignment="1">
      <x:alignment wrapText="1"/>
    </x:xf>
    <x:xf numFmtId="0" fontId="3" fillId="3" borderId="16" xfId="0" applyNumberFormat="1" applyFont="1" applyFill="1" applyBorder="1" applyAlignment="1">
      <x:alignment horizontal="center" wrapText="1"/>
    </x:xf>
    <x:xf numFmtId="0" fontId="3" fillId="3" borderId="17" xfId="0" applyNumberFormat="1" applyFont="1" applyFill="1" applyBorder="1" applyAlignment="1">
      <x:alignment horizontal="center" wrapText="1"/>
    </x:xf>
    <x:xf numFmtId="0" fontId="3" fillId="3" borderId="18" xfId="0" applyNumberFormat="1" applyFont="1" applyFill="1" applyBorder="1" applyAlignment="1">
      <x:alignment horizontal="center" wrapText="1"/>
    </x:xf>
    <x:xf numFmtId="0" fontId="3" fillId="3" borderId="16" xfId="0" applyNumberFormat="1" applyFont="1" applyFill="1" applyBorder="1" applyAlignment="1">
      <x:alignment horizontal="center" vertical="center" wrapText="1"/>
    </x:xf>
    <x:xf numFmtId="0" fontId="3" fillId="3" borderId="17" xfId="0" applyNumberFormat="1" applyFont="1" applyFill="1" applyBorder="1" applyAlignment="1">
      <x:alignment horizontal="center" vertical="center" wrapText="1"/>
    </x:xf>
    <x:xf numFmtId="0" fontId="3" fillId="3" borderId="18" xfId="0" applyNumberFormat="1" applyFont="1" applyFill="1" applyBorder="1" applyAlignment="1">
      <x:alignment horizontal="center" vertical="center" wrapText="1"/>
    </x:xf>
    <x:xf numFmtId="201" fontId="0" fillId="0" borderId="0" xfId="0" applyNumberFormat="1" applyFont="1" applyFill="1" applyBorder="1"/>
    <x:xf numFmtId="201" fontId="0" fillId="0" borderId="12" xfId="0" applyNumberFormat="1" applyFont="1" applyFill="1" applyBorder="1"/>
    <x:xf numFmtId="201" fontId="0" fillId="0" borderId="14" xfId="0" applyNumberFormat="1" applyFont="1" applyFill="1" applyBorder="1"/>
    <x:xf numFmtId="201" fontId="0" fillId="0" borderId="15" xfId="0" applyNumberFormat="1" applyFont="1" applyFill="1" applyBorder="1"/>
    <x:xf numFmtId="201" fontId="0" fillId="0" borderId="1" xfId="0" applyNumberFormat="1" applyFont="1" applyFill="1" applyBorder="1"/>
    <x:xf numFmtId="201" fontId="0" fillId="0" borderId="20" xfId="0" applyNumberFormat="1" applyFont="1" applyFill="1" applyBorder="1"/>
    <x:xf numFmtId="201" fontId="0" fillId="0" borderId="22" xfId="0" applyNumberFormat="1" applyFont="1" applyFill="1" applyBorder="1"/>
    <x:xf numFmtId="201" fontId="0" fillId="0" borderId="23" xfId="0" applyNumberFormat="1" applyFont="1" applyFill="1" applyBorder="1"/>
    <x:xf numFmtId="201" fontId="10" fillId="0" borderId="14" xfId="0" applyNumberFormat="1" applyFont="1" applyFill="1" applyBorder="1"/>
    <x:xf numFmtId="201" fontId="10" fillId="0" borderId="15" xfId="0" applyNumberFormat="1" applyFont="1" applyFill="1" applyBorder="1"/>
    <x:xf numFmtId="201" fontId="10" fillId="0" borderId="22" xfId="0" applyNumberFormat="1" applyFont="1" applyFill="1" applyBorder="1"/>
    <x:xf numFmtId="201" fontId="10" fillId="0" borderId="23" xfId="0" applyNumberFormat="1" applyFont="1" applyFill="1" applyBorder="1"/>
    <x:xf numFmtId="203" fontId="0" fillId="0" borderId="0" xfId="0" applyNumberFormat="1" applyFont="1" applyFill="1" applyBorder="1"/>
    <x:xf numFmtId="203" fontId="0" fillId="0" borderId="1" xfId="0" applyNumberFormat="1" applyFont="1" applyFill="1" applyBorder="1"/>
    <x:xf numFmtId="203" fontId="0" fillId="0" borderId="11" xfId="0" applyNumberFormat="1" applyFont="1" applyFill="1" applyBorder="1"/>
    <x:xf numFmtId="203" fontId="0" fillId="0" borderId="13" xfId="0" applyNumberFormat="1" applyFont="1" applyFill="1" applyBorder="1"/>
    <x:xf numFmtId="203" fontId="0" fillId="0" borderId="19" xfId="0" applyNumberFormat="1" applyFont="1" applyFill="1" applyBorder="1"/>
    <x:xf numFmtId="203" fontId="0" fillId="0" borderId="21" xfId="0" applyNumberFormat="1" applyFont="1" applyFill="1" applyBorder="1"/>
    <x:xf numFmtId="201" fontId="0" fillId="0" borderId="11" xfId="0" applyNumberFormat="1" applyFont="1" applyFill="1" applyBorder="1"/>
    <x:xf numFmtId="201" fontId="0" fillId="0" borderId="13" xfId="0" applyNumberFormat="1" applyFont="1" applyFill="1" applyBorder="1"/>
    <x:xf numFmtId="201" fontId="0" fillId="0" borderId="19" xfId="0" applyNumberFormat="1" applyFont="1" applyFill="1" applyBorder="1"/>
    <x:xf numFmtId="201" fontId="0" fillId="0" borderId="21" xfId="0" applyNumberFormat="1" applyFont="1" applyFill="1" applyBorder="1"/>
    <x:xf numFmtId="203" fontId="0" fillId="0" borderId="11" xfId="0" applyNumberFormat="1" applyFont="1" applyFill="1" applyBorder="1" applyAlignment="1">
      <x:alignment horizontal="right"/>
    </x:xf>
    <x:xf numFmtId="201" fontId="0" fillId="0" borderId="0" xfId="0" applyNumberFormat="1" applyFont="1" applyFill="1" applyBorder="1" applyAlignment="1">
      <x:alignment horizontal="right"/>
    </x:xf>
    <x:xf numFmtId="201" fontId="0" fillId="0" borderId="12" xfId="0" applyNumberFormat="1" applyFont="1" applyFill="1" applyBorder="1" applyAlignment="1">
      <x:alignment horizontal="right"/>
    </x:xf>
    <x:xf numFmtId="0" fontId="0" fillId="0" borderId="0" xfId="0" applyNumberFormat="1" applyFont="1" applyFill="1" applyBorder="1" applyAlignment="1">
      <x:alignment horizontal="right"/>
    </x:xf>
    <x:xf numFmtId="201" fontId="0" fillId="0" borderId="11" xfId="0" applyNumberFormat="1" applyFont="1" applyFill="1" applyBorder="1" applyAlignment="1">
      <x:alignment horizontal="right"/>
    </x:xf>
    <x:xf numFmtId="203" fontId="0" fillId="0" borderId="13" xfId="0" applyNumberFormat="1" applyFont="1" applyFill="1" applyBorder="1" applyAlignment="1">
      <x:alignment horizontal="right"/>
    </x:xf>
    <x:xf numFmtId="201" fontId="0" fillId="0" borderId="14" xfId="0" applyNumberFormat="1" applyFont="1" applyFill="1" applyBorder="1" applyAlignment="1">
      <x:alignment horizontal="right"/>
    </x:xf>
    <x:xf numFmtId="201" fontId="0" fillId="0" borderId="15" xfId="0" applyNumberFormat="1" applyFont="1" applyFill="1" applyBorder="1" applyAlignment="1">
      <x:alignment horizontal="right"/>
    </x:xf>
    <x:xf numFmtId="201" fontId="0" fillId="0" borderId="13" xfId="0" applyNumberFormat="1" applyFont="1" applyFill="1" applyBorder="1" applyAlignment="1">
      <x:alignment horizontal="right"/>
    </x:xf>
    <x:xf numFmtId="203" fontId="0" fillId="0" borderId="19" xfId="0" applyNumberFormat="1" applyFont="1" applyFill="1" applyBorder="1" applyAlignment="1">
      <x:alignment horizontal="right"/>
    </x:xf>
    <x:xf numFmtId="201" fontId="0" fillId="0" borderId="1" xfId="0" applyNumberFormat="1" applyFont="1" applyFill="1" applyBorder="1" applyAlignment="1">
      <x:alignment horizontal="right"/>
    </x:xf>
    <x:xf numFmtId="201" fontId="0" fillId="0" borderId="20" xfId="0" applyNumberFormat="1" applyFont="1" applyFill="1" applyBorder="1" applyAlignment="1">
      <x:alignment horizontal="right"/>
    </x:xf>
    <x:xf numFmtId="0" fontId="0" fillId="0" borderId="1" xfId="0" applyNumberFormat="1" applyFont="1" applyFill="1" applyBorder="1" applyAlignment="1">
      <x:alignment horizontal="right"/>
    </x:xf>
    <x:xf numFmtId="201" fontId="0" fillId="0" borderId="19" xfId="0" applyNumberFormat="1" applyFont="1" applyFill="1" applyBorder="1" applyAlignment="1">
      <x:alignment horizontal="right"/>
    </x:xf>
    <x:xf numFmtId="203" fontId="0" fillId="0" borderId="21" xfId="0" applyNumberFormat="1" applyFont="1" applyFill="1" applyBorder="1" applyAlignment="1">
      <x:alignment horizontal="right"/>
    </x:xf>
    <x:xf numFmtId="201" fontId="0" fillId="0" borderId="22" xfId="0" applyNumberFormat="1" applyFont="1" applyFill="1" applyBorder="1" applyAlignment="1">
      <x:alignment horizontal="right"/>
    </x:xf>
    <x:xf numFmtId="201" fontId="0" fillId="0" borderId="23" xfId="0" applyNumberFormat="1" applyFont="1" applyFill="1" applyBorder="1" applyAlignment="1">
      <x:alignment horizontal="right"/>
    </x:xf>
    <x:xf numFmtId="201" fontId="0" fillId="0" borderId="21" xfId="0" applyNumberFormat="1" applyFont="1" applyFill="1" applyBorder="1" applyAlignment="1">
      <x:alignment horizontal="right"/>
    </x:xf>
    <x:xf numFmtId="203" fontId="5" fillId="0" borderId="11" xfId="0" applyNumberFormat="1" applyFont="1" applyFill="1" applyBorder="1" applyAlignment="1">
      <x:alignment horizontal="right"/>
    </x:xf>
    <x:xf numFmtId="203" fontId="5" fillId="0" borderId="13" xfId="0" applyNumberFormat="1" applyFont="1" applyFill="1" applyBorder="1" applyAlignment="1">
      <x:alignment horizontal="right"/>
    </x:xf>
    <x:xf numFmtId="203" fontId="5" fillId="0" borderId="19" xfId="0" applyNumberFormat="1" applyFont="1" applyFill="1" applyBorder="1" applyAlignment="1">
      <x:alignment horizontal="right"/>
    </x:xf>
    <x:xf numFmtId="203" fontId="5" fillId="0" borderId="21" xfId="0" applyNumberFormat="1" applyFont="1" applyFill="1" applyBorder="1" applyAlignment="1">
      <x:alignment horizontal="right"/>
    </x:xf>
    <x:xf numFmtId="201" fontId="5" fillId="0" borderId="11" xfId="0" applyNumberFormat="1" applyFont="1" applyFill="1" applyBorder="1" applyAlignment="1">
      <x:alignment horizontal="right"/>
    </x:xf>
    <x:xf numFmtId="201" fontId="5" fillId="0" borderId="13" xfId="0" applyNumberFormat="1" applyFont="1" applyFill="1" applyBorder="1" applyAlignment="1">
      <x:alignment horizontal="right"/>
    </x:xf>
    <x:xf numFmtId="201" fontId="5" fillId="0" borderId="19" xfId="0" applyNumberFormat="1" applyFont="1" applyFill="1" applyBorder="1" applyAlignment="1">
      <x:alignment horizontal="right"/>
    </x:xf>
    <x:xf numFmtId="201" fontId="5" fillId="0" borderId="21" xfId="0" applyNumberFormat="1" applyFont="1" applyFill="1" applyBorder="1" applyAlignment="1">
      <x:alignment horizontal="right"/>
    </x:xf>
    <x:xf numFmtId="201" fontId="11" fillId="0" borderId="14" xfId="0" applyNumberFormat="1" applyFont="1" applyFill="1" applyBorder="1" applyAlignment="1">
      <x:alignment horizontal="right"/>
    </x:xf>
    <x:xf numFmtId="201" fontId="11" fillId="0" borderId="15" xfId="0" applyNumberFormat="1" applyFont="1" applyFill="1" applyBorder="1" applyAlignment="1">
      <x:alignment horizontal="right"/>
    </x:xf>
    <x:xf numFmtId="201" fontId="11" fillId="0" borderId="22" xfId="0" applyNumberFormat="1" applyFont="1" applyFill="1" applyBorder="1" applyAlignment="1">
      <x:alignment horizontal="right"/>
    </x:xf>
    <x:xf numFmtId="201" fontId="11" fillId="0" borderId="23" xfId="0" applyNumberFormat="1" applyFont="1" applyFill="1" applyBorder="1" applyAlignment="1">
      <x:alignment horizontal="right"/>
    </x:xf>
    <x:xf numFmtId="203" fontId="5" fillId="6" borderId="11" xfId="0" applyNumberFormat="1" applyFont="1" applyFill="1" applyBorder="1" applyAlignment="1">
      <x:alignment horizontal="right"/>
    </x:xf>
    <x:xf numFmtId="201" fontId="11" fillId="6" borderId="0" xfId="0" applyNumberFormat="1" applyFont="1" applyFill="1" applyBorder="1" applyAlignment="1">
      <x:alignment horizontal="right"/>
    </x:xf>
    <x:xf numFmtId="201" fontId="11" fillId="6" borderId="12" xfId="0" applyNumberFormat="1" applyFont="1" applyFill="1" applyBorder="1" applyAlignment="1">
      <x:alignment horizontal="right"/>
    </x:xf>
    <x:xf numFmtId="203" fontId="5" fillId="6" borderId="19" xfId="0" applyNumberFormat="1" applyFont="1" applyFill="1" applyBorder="1" applyAlignment="1">
      <x:alignment horizontal="right"/>
    </x:xf>
    <x:xf numFmtId="201" fontId="11" fillId="6" borderId="1" xfId="0" applyNumberFormat="1" applyFont="1" applyFill="1" applyBorder="1" applyAlignment="1">
      <x:alignment horizontal="right"/>
    </x:xf>
    <x:xf numFmtId="201" fontId="11" fillId="6" borderId="20" xfId="0" applyNumberFormat="1" applyFont="1" applyFill="1" applyBorder="1" applyAlignment="1">
      <x:alignment horizontal="right"/>
    </x:xf>
    <x:xf numFmtId="201" fontId="5" fillId="6" borderId="11" xfId="0" applyNumberFormat="1" applyFont="1" applyFill="1" applyBorder="1" applyAlignment="1">
      <x:alignment horizontal="right"/>
    </x:xf>
    <x:xf numFmtId="201" fontId="5" fillId="6" borderId="19" xfId="0" applyNumberFormat="1" applyFont="1" applyFill="1" applyBorder="1" applyAlignment="1">
      <x:alignment horizontal="right"/>
    </x:xf>
    <x:xf numFmtId="0" fontId="15" fillId="0" borderId="0" xfId="0" applyNumberFormat="1" applyFont="1" applyFill="1" applyBorder="1"/>
    <x:xf numFmtId="0" fontId="15" fillId="0" borderId="0" xfId="0" applyNumberFormat="1" applyFont="1" applyFill="1" applyBorder="1" applyAlignment="1">
      <x:alignment horizontal="center"/>
    </x:xf>
    <x:xf numFmtId="0" fontId="15" fillId="0" borderId="1" xfId="0" applyNumberFormat="1" applyFont="1" applyFill="1" applyBorder="1"/>
    <x:xf numFmtId="0" fontId="15" fillId="0"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5" fillId="0" borderId="11" xfId="0" applyNumberFormat="1" applyFont="1" applyFill="1" applyBorder="1" applyAlignment="1">
      <x:alignment horizontal="center"/>
    </x:xf>
    <x:xf numFmtId="0" fontId="0" fillId="0" borderId="12" xfId="0" applyNumberFormat="1" applyFont="1" applyFill="1" applyBorder="1" applyAlignment="1">
      <x:alignment vertical="top" wrapText="1"/>
    </x:xf>
    <x:xf numFmtId="0" fontId="15" fillId="0" borderId="13" xfId="0" applyNumberFormat="1" applyFont="1" applyFill="1" applyBorder="1" applyAlignment="1">
      <x:alignment horizontal="center"/>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5" fillId="0" borderId="19" xfId="0" applyNumberFormat="1" applyFont="1" applyFill="1" applyBorder="1" applyAlignment="1">
      <x:alignment horizontal="center"/>
    </x:xf>
    <x:xf numFmtId="0" fontId="0" fillId="0" borderId="20" xfId="0" applyNumberFormat="1" applyFont="1" applyFill="1" applyBorder="1" applyAlignment="1">
      <x:alignment vertical="top" wrapText="1"/>
    </x:xf>
    <x:xf numFmtId="0" fontId="15" fillId="0" borderId="21" xfId="0" applyNumberFormat="1" applyFont="1" applyFill="1" applyBorder="1" applyAlignment="1">
      <x:alignment horizontal="center"/>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4" fillId="8" borderId="11" xfId="0" applyNumberFormat="1" applyFont="1" applyFill="1" applyBorder="1"/>
    <x:xf numFmtId="0" fontId="0" fillId="8" borderId="0" xfId="0" applyNumberFormat="1" applyFont="1" applyFill="1" applyBorder="1" applyAlignment="1">
      <x:alignment vertical="top" wrapText="1"/>
    </x:xf>
    <x:xf numFmtId="0" fontId="0" fillId="8" borderId="12" xfId="0" applyNumberFormat="1" applyFont="1" applyFill="1" applyBorder="1" applyAlignment="1">
      <x:alignment vertical="top" wrapText="1"/>
    </x:xf>
    <x:xf numFmtId="0" fontId="4" fillId="8" borderId="19" xfId="0" applyNumberFormat="1" applyFont="1" applyFill="1" applyBorder="1"/>
    <x:xf numFmtId="0" fontId="0" fillId="8" borderId="1" xfId="0" applyNumberFormat="1" applyFont="1" applyFill="1" applyBorder="1" applyAlignment="1">
      <x:alignment vertical="top" wrapText="1"/>
    </x:xf>
    <x:xf numFmtId="0" fontId="0" fillId="8" borderId="20" xfId="0" applyNumberFormat="1" applyFont="1" applyFill="1" applyBorder="1" applyAlignment="1">
      <x:alignment vertical="top" wrapText="1"/>
    </x:xf>
    <x:xf numFmtId="0" fontId="4" fillId="4" borderId="11" xfId="0" applyNumberFormat="1" applyFont="1" applyFill="1" applyBorder="1"/>
    <x:xf numFmtId="0" fontId="0" fillId="4" borderId="0"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4" fillId="4" borderId="19" xfId="0" applyNumberFormat="1" applyFont="1" applyFill="1" applyBorder="1"/>
    <x:xf numFmtId="0" fontId="0" fillId="4" borderId="1" xfId="0" applyNumberFormat="1" applyFont="1" applyFill="1" applyBorder="1" applyAlignment="1">
      <x:alignment vertical="top" wrapText="1"/>
    </x:xf>
    <x:xf numFmtId="0" fontId="0" fillId="4" borderId="20" xfId="0" applyNumberFormat="1" applyFont="1" applyFill="1" applyBorder="1" applyAlignment="1">
      <x:alignment vertical="top" wrapText="1"/>
    </x:xf>
    <x:xf numFmtId="0" fontId="4" fillId="9" borderId="13" xfId="0" applyNumberFormat="1" applyFont="1" applyFill="1" applyBorder="1"/>
    <x:xf numFmtId="0" fontId="0" fillId="9" borderId="14" xfId="0" applyNumberFormat="1" applyFont="1" applyFill="1" applyBorder="1" applyAlignment="1">
      <x:alignment vertical="top" wrapText="1"/>
    </x:xf>
    <x:xf numFmtId="0" fontId="0" fillId="9" borderId="15" xfId="0" applyNumberFormat="1" applyFont="1" applyFill="1" applyBorder="1" applyAlignment="1">
      <x:alignment vertical="top" wrapText="1"/>
    </x:xf>
    <x:xf numFmtId="0" fontId="4" fillId="9" borderId="21" xfId="0" applyNumberFormat="1" applyFont="1" applyFill="1" applyBorder="1"/>
    <x:xf numFmtId="0" fontId="0" fillId="9" borderId="22" xfId="0" applyNumberFormat="1" applyFont="1" applyFill="1" applyBorder="1" applyAlignment="1">
      <x:alignment vertical="top" wrapText="1"/>
    </x:xf>
    <x:xf numFmtId="0" fontId="0" fillId="9" borderId="23"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8" xfId="0" applyNumberFormat="1" applyFont="1" applyFill="1" applyBorder="1"/>
    <x:xf numFmtId="0" fontId="8" fillId="10" borderId="9" xfId="0" applyNumberFormat="1" applyFont="1" applyFill="1" applyBorder="1"/>
    <x:xf numFmtId="0" fontId="8" fillId="10" borderId="10" xfId="0" applyNumberFormat="1" applyFont="1" applyFill="1" applyBorder="1"/>
    <x:xf numFmtId="0" fontId="8" fillId="10" borderId="11" xfId="0" applyNumberFormat="1" applyFont="1" applyFill="1" applyBorder="1"/>
    <x:xf numFmtId="0" fontId="8" fillId="10" borderId="12" xfId="0" applyNumberFormat="1" applyFont="1" applyFill="1" applyBorder="1"/>
    <x:xf numFmtId="0" fontId="8" fillId="10" borderId="13" xfId="0" applyNumberFormat="1" applyFont="1" applyFill="1" applyBorder="1"/>
    <x:xf numFmtId="0" fontId="8" fillId="10" borderId="14" xfId="0" applyNumberFormat="1" applyFont="1" applyFill="1" applyBorder="1"/>
    <x:xf numFmtId="0" fontId="8" fillId="10" borderId="15" xfId="0" applyNumberFormat="1" applyFont="1" applyFill="1" applyBorder="1"/>
    <x:xf numFmtId="0" fontId="8" fillId="10" borderId="8" xfId="0" applyNumberFormat="1" applyFont="1" applyFill="1" applyBorder="1" applyAlignment="1">
      <x:alignment wrapText="1"/>
    </x:xf>
    <x:xf numFmtId="0" fontId="8" fillId="10" borderId="9" xfId="0" applyNumberFormat="1" applyFont="1" applyFill="1" applyBorder="1" applyAlignment="1">
      <x:alignment wrapText="1"/>
    </x:xf>
    <x:xf numFmtId="0" fontId="8" fillId="10" borderId="10" xfId="0" applyNumberFormat="1" applyFont="1" applyFill="1" applyBorder="1" applyAlignment="1">
      <x:alignment wrapText="1"/>
    </x:xf>
    <x:xf numFmtId="0" fontId="8" fillId="10" borderId="11" xfId="0" applyNumberFormat="1" applyFont="1" applyFill="1" applyBorder="1" applyAlignment="1">
      <x:alignment wrapText="1"/>
    </x:xf>
    <x:xf numFmtId="0" fontId="8" fillId="10" borderId="0" xfId="0" applyNumberFormat="1" applyFont="1" applyFill="1" applyBorder="1" applyAlignment="1">
      <x:alignment wrapText="1"/>
    </x:xf>
    <x:xf numFmtId="0" fontId="8" fillId="10" borderId="12" xfId="0" applyNumberFormat="1" applyFont="1" applyFill="1" applyBorder="1" applyAlignment="1">
      <x:alignment wrapText="1"/>
    </x:xf>
    <x:xf numFmtId="0" fontId="8" fillId="10" borderId="13" xfId="0" applyNumberFormat="1" applyFont="1" applyFill="1" applyBorder="1" applyAlignment="1">
      <x:alignment wrapText="1"/>
    </x:xf>
    <x:xf numFmtId="0" fontId="8" fillId="10" borderId="14" xfId="0" applyNumberFormat="1" applyFont="1" applyFill="1" applyBorder="1" applyAlignment="1">
      <x:alignment wrapText="1"/>
    </x:xf>
    <x:xf numFmtId="0" fontId="8" fillId="10" borderId="15" xfId="0" applyNumberFormat="1" applyFont="1" applyFill="1" applyBorder="1" applyAlignment="1">
      <x:alignment wrapText="1"/>
    </x:xf>
    <x:xf numFmtId="0" fontId="8" fillId="10" borderId="8" xfId="0" applyNumberFormat="1" applyFont="1" applyFill="1" applyBorder="1" applyAlignment="1">
      <x:alignment vertical="center" wrapText="1"/>
    </x:xf>
    <x:xf numFmtId="0" fontId="8" fillId="10" borderId="9" xfId="0" applyNumberFormat="1" applyFont="1" applyFill="1" applyBorder="1" applyAlignment="1">
      <x:alignment vertical="center" wrapText="1"/>
    </x:xf>
    <x:xf numFmtId="0" fontId="8" fillId="10" borderId="10" xfId="0" applyNumberFormat="1" applyFont="1" applyFill="1" applyBorder="1" applyAlignment="1">
      <x:alignment vertical="center" wrapText="1"/>
    </x:xf>
    <x:xf numFmtId="0" fontId="8" fillId="10" borderId="11" xfId="0" applyNumberFormat="1" applyFont="1" applyFill="1" applyBorder="1" applyAlignment="1">
      <x:alignment vertical="center" wrapText="1"/>
    </x:xf>
    <x:xf numFmtId="0" fontId="8" fillId="10" borderId="0" xfId="0" applyNumberFormat="1" applyFont="1" applyFill="1" applyBorder="1" applyAlignment="1">
      <x:alignment vertical="center" wrapText="1"/>
    </x:xf>
    <x:xf numFmtId="0" fontId="8" fillId="10" borderId="12" xfId="0" applyNumberFormat="1" applyFont="1" applyFill="1" applyBorder="1" applyAlignment="1">
      <x:alignment vertical="center" wrapText="1"/>
    </x:xf>
    <x:xf numFmtId="0" fontId="8" fillId="10" borderId="13" xfId="0" applyNumberFormat="1" applyFont="1" applyFill="1" applyBorder="1" applyAlignment="1">
      <x:alignment vertical="center" wrapText="1"/>
    </x:xf>
    <x:xf numFmtId="0" fontId="8" fillId="10" borderId="14" xfId="0" applyNumberFormat="1" applyFont="1" applyFill="1" applyBorder="1" applyAlignment="1">
      <x:alignment vertical="center" wrapText="1"/>
    </x:xf>
    <x:xf numFmtId="0" fontId="8" fillId="10" borderId="15" xfId="0" applyNumberFormat="1" applyFont="1" applyFill="1" applyBorder="1" applyAlignment="1">
      <x:alignment vertical="center" wrapText="1"/>
    </x:xf>
    <x:xf numFmtId="0" fontId="0" fillId="10" borderId="1" xfId="0" applyNumberFormat="1" applyFont="1" applyFill="1" applyBorder="1"/>
    <x:xf numFmtId="0" fontId="8" fillId="10" borderId="1" xfId="0" applyNumberFormat="1" applyFont="1" applyFill="1" applyBorder="1"/>
    <x:xf numFmtId="0" fontId="8" fillId="10" borderId="16" xfId="0" applyNumberFormat="1" applyFont="1" applyFill="1" applyBorder="1"/>
    <x:xf numFmtId="0" fontId="8" fillId="10" borderId="17" xfId="0" applyNumberFormat="1" applyFont="1" applyFill="1" applyBorder="1"/>
    <x:xf numFmtId="0" fontId="8" fillId="10" borderId="18" xfId="0" applyNumberFormat="1" applyFont="1" applyFill="1" applyBorder="1"/>
    <x:xf numFmtId="0" fontId="8" fillId="10" borderId="19" xfId="0" applyNumberFormat="1" applyFont="1" applyFill="1" applyBorder="1"/>
    <x:xf numFmtId="0" fontId="8" fillId="10" borderId="20" xfId="0" applyNumberFormat="1" applyFont="1" applyFill="1" applyBorder="1"/>
    <x:xf numFmtId="0" fontId="8" fillId="10" borderId="21" xfId="0" applyNumberFormat="1" applyFont="1" applyFill="1" applyBorder="1"/>
    <x:xf numFmtId="0" fontId="8" fillId="10" borderId="22" xfId="0" applyNumberFormat="1" applyFont="1" applyFill="1" applyBorder="1"/>
    <x:xf numFmtId="0" fontId="8" fillId="10" borderId="23" xfId="0" applyNumberFormat="1" applyFont="1" applyFill="1" applyBorder="1"/>
    <x:xf numFmtId="0" fontId="8" fillId="10" borderId="16" xfId="0" applyNumberFormat="1" applyFont="1" applyFill="1" applyBorder="1" applyAlignment="1">
      <x:alignment wrapText="1"/>
    </x:xf>
    <x:xf numFmtId="0" fontId="8" fillId="10" borderId="17" xfId="0" applyNumberFormat="1" applyFont="1" applyFill="1" applyBorder="1" applyAlignment="1">
      <x:alignment wrapText="1"/>
    </x:xf>
    <x:xf numFmtId="0" fontId="8" fillId="10" borderId="18" xfId="0" applyNumberFormat="1" applyFont="1" applyFill="1" applyBorder="1" applyAlignment="1">
      <x:alignment wrapText="1"/>
    </x:xf>
    <x:xf numFmtId="0" fontId="8" fillId="10" borderId="19" xfId="0" applyNumberFormat="1" applyFont="1" applyFill="1" applyBorder="1" applyAlignment="1">
      <x:alignment wrapText="1"/>
    </x:xf>
    <x:xf numFmtId="0" fontId="8" fillId="10" borderId="1" xfId="0" applyNumberFormat="1" applyFont="1" applyFill="1" applyBorder="1" applyAlignment="1">
      <x:alignment wrapText="1"/>
    </x:xf>
    <x:xf numFmtId="0" fontId="8" fillId="10" borderId="20" xfId="0" applyNumberFormat="1" applyFont="1" applyFill="1" applyBorder="1" applyAlignment="1">
      <x:alignment wrapText="1"/>
    </x:xf>
    <x:xf numFmtId="0" fontId="8" fillId="10" borderId="21" xfId="0" applyNumberFormat="1" applyFont="1" applyFill="1" applyBorder="1" applyAlignment="1">
      <x:alignment wrapText="1"/>
    </x:xf>
    <x:xf numFmtId="0" fontId="8" fillId="10" borderId="22" xfId="0" applyNumberFormat="1" applyFont="1" applyFill="1" applyBorder="1" applyAlignment="1">
      <x:alignment wrapText="1"/>
    </x:xf>
    <x:xf numFmtId="0" fontId="8" fillId="10" borderId="23" xfId="0" applyNumberFormat="1" applyFont="1" applyFill="1" applyBorder="1" applyAlignment="1">
      <x:alignment wrapText="1"/>
    </x:xf>
    <x:xf numFmtId="0" fontId="8" fillId="10" borderId="16" xfId="0" applyNumberFormat="1" applyFont="1" applyFill="1" applyBorder="1" applyAlignment="1">
      <x:alignment vertical="center" wrapText="1"/>
    </x:xf>
    <x:xf numFmtId="0" fontId="8" fillId="10" borderId="17" xfId="0" applyNumberFormat="1" applyFont="1" applyFill="1" applyBorder="1" applyAlignment="1">
      <x:alignment vertical="center" wrapText="1"/>
    </x:xf>
    <x:xf numFmtId="0" fontId="8" fillId="10" borderId="18" xfId="0" applyNumberFormat="1" applyFont="1" applyFill="1" applyBorder="1" applyAlignment="1">
      <x:alignment vertical="center" wrapText="1"/>
    </x:xf>
    <x:xf numFmtId="0" fontId="8" fillId="10" borderId="19" xfId="0" applyNumberFormat="1" applyFont="1" applyFill="1" applyBorder="1" applyAlignment="1">
      <x:alignment vertical="center" wrapText="1"/>
    </x:xf>
    <x:xf numFmtId="0" fontId="8" fillId="10" borderId="1" xfId="0" applyNumberFormat="1" applyFont="1" applyFill="1" applyBorder="1" applyAlignment="1">
      <x:alignment vertical="center" wrapText="1"/>
    </x:xf>
    <x:xf numFmtId="0" fontId="8" fillId="10" borderId="20" xfId="0" applyNumberFormat="1" applyFont="1" applyFill="1" applyBorder="1" applyAlignment="1">
      <x:alignment vertical="center" wrapText="1"/>
    </x:xf>
    <x:xf numFmtId="0" fontId="8" fillId="10" borderId="21" xfId="0" applyNumberFormat="1" applyFont="1" applyFill="1" applyBorder="1" applyAlignment="1">
      <x:alignment vertical="center" wrapText="1"/>
    </x:xf>
    <x:xf numFmtId="0" fontId="8" fillId="10" borderId="22" xfId="0" applyNumberFormat="1" applyFont="1" applyFill="1" applyBorder="1" applyAlignment="1">
      <x:alignment vertical="center" wrapText="1"/>
    </x:xf>
    <x:xf numFmtId="0" fontId="8" fillId="10" borderId="23" xfId="0" applyNumberFormat="1" applyFont="1" applyFill="1" applyBorder="1" applyAlignment="1">
      <x:alignment vertical="center"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16" fillId="0" borderId="0" xfId="0" applyNumberFormat="1" applyFont="1" applyFill="1" applyBorder="1"/>
    <x:xf numFmtId="0" fontId="16" fillId="0" borderId="2" xfId="0" applyNumberFormat="1" applyFont="1" applyFill="1" applyBorder="1"/>
    <x:xf numFmtId="0" fontId="16" fillId="0" borderId="3" xfId="0" applyNumberFormat="1" applyFont="1" applyFill="1" applyBorder="1"/>
    <x:xf numFmtId="0" fontId="16" fillId="0" borderId="4" xfId="0" applyNumberFormat="1" applyFont="1" applyFill="1" applyBorder="1"/>
    <x:xf numFmtId="0" fontId="16" fillId="0" borderId="2" xfId="0" applyNumberFormat="1" applyFont="1" applyFill="1" applyBorder="1" applyAlignment="1">
      <x:alignment wrapText="1"/>
    </x:xf>
    <x:xf numFmtId="0" fontId="16" fillId="0" borderId="3" xfId="0" applyNumberFormat="1" applyFont="1" applyFill="1" applyBorder="1" applyAlignment="1">
      <x:alignment wrapText="1"/>
    </x:xf>
    <x:xf numFmtId="0" fontId="16" fillId="0" borderId="4" xfId="0" applyNumberFormat="1" applyFont="1" applyFill="1" applyBorder="1" applyAlignment="1">
      <x:alignment wrapText="1"/>
    </x:xf>
    <x:xf numFmtId="0" fontId="16" fillId="0" borderId="2" xfId="0" applyNumberFormat="1" applyFont="1" applyFill="1" applyBorder="1" applyAlignment="1">
      <x:alignment vertical="top" wrapText="1"/>
    </x:xf>
    <x:xf numFmtId="0" fontId="16" fillId="0" borderId="3" xfId="0" applyNumberFormat="1" applyFont="1" applyFill="1" applyBorder="1" applyAlignment="1">
      <x:alignment vertical="top" wrapText="1"/>
    </x:xf>
    <x:xf numFmtId="0" fontId="16" fillId="0" borderId="4" xfId="0" applyNumberFormat="1" applyFont="1" applyFill="1" applyBorder="1" applyAlignment="1">
      <x:alignment vertical="top" wrapText="1"/>
    </x:xf>
    <x:xf numFmtId="0" fontId="16" fillId="0" borderId="1" xfId="0" applyNumberFormat="1" applyFont="1" applyFill="1" applyBorder="1"/>
    <x:xf numFmtId="0" fontId="16" fillId="0" borderId="5" xfId="0" applyNumberFormat="1" applyFont="1" applyFill="1" applyBorder="1"/>
    <x:xf numFmtId="0" fontId="16" fillId="0" borderId="6" xfId="0" applyNumberFormat="1" applyFont="1" applyFill="1" applyBorder="1"/>
    <x:xf numFmtId="0" fontId="16" fillId="0" borderId="7"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0" borderId="7"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7" xfId="0" applyNumberFormat="1" applyFont="1" applyFill="1" applyBorder="1" applyAlignment="1">
      <x:alignment vertical="top" wrapText="1"/>
    </x:xf>
  </x:cellXfs>
  <x:cellStyles count="1">
    <x:cellStyle name="Normal" xfId="0"/>
  </x:cellStyles>
  <x:dxfs count="7">
    <x:dxf>
      <x:font>
        <x:b/>
        <x:color rgb="FFC62828"/>
      </x:font>
      <x:fill>
        <x:patternFill patternType="solid">
          <x:bgColor rgb="FFFDECEC"/>
        </x:patternFill>
      </x:fill>
    </x:dxf>
    <x:dxf>
      <x:font>
        <x:b/>
        <x:color rgb="FF1B5E20"/>
      </x:font>
      <x:fill>
        <x:patternFill patternType="solid">
          <x:bgColor rgb="FFE8F5E9"/>
        </x:patternFill>
      </x:fill>
    </x:dxf>
    <x:dxf>
      <x:font>
        <x:b/>
        <x:color rgb="FF7A5B00"/>
      </x:font>
      <x:fill>
        <x:patternFill patternType="solid">
          <x:bgColor rgb="FFFFF7CC"/>
        </x:patternFill>
      </x:fill>
    </x:dxf>
    <x:dxf>
      <x:font>
        <x:b/>
        <x:color rgb="FFC62828"/>
      </x:font>
      <x:fill>
        <x:patternFill patternType="solid">
          <x:bgColor rgb="FFFDECEC"/>
        </x:patternFill>
      </x:fill>
    </x:dxf>
    <x:dxf>
      <x:font>
        <x:b/>
        <x:color rgb="FF1B5E20"/>
      </x:font>
      <x:fill>
        <x:patternFill patternType="solid">
          <x:bgColor rgb="FFE8F5E9"/>
        </x:patternFill>
      </x:fill>
    </x:dxf>
    <x:dxf>
      <x:font>
        <x:b/>
        <x:color rgb="FF7A5B00"/>
      </x:font>
      <x:fill>
        <x:patternFill patternType="solid">
          <x:bgColor rgb="FFFFF7CC"/>
        </x:patternFill>
      </x:fill>
    </x:dxf>
    <x:dxf>
      <x:font>
        <x:b/>
        <x:color rgb="FFC62828"/>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ce819e020f40ba" /><Relationship Type="http://schemas.openxmlformats.org/officeDocument/2006/relationships/theme" Target="/xl/theme/theme1.xml" Id="R93920a63e467472f" /><Relationship Type="http://schemas.openxmlformats.org/officeDocument/2006/relationships/sharedStrings" Target="/xl/sharedStrings.xml" Id="Rca19e113c2b149bf" /><Relationship Type="http://schemas.openxmlformats.org/officeDocument/2006/relationships/worksheet" Target="/xl/worksheets/sheet1.xml" Id="R78d74b24bda54637" /><Relationship Type="http://schemas.openxmlformats.org/officeDocument/2006/relationships/worksheet" Target="/xl/worksheets/sheet2.xml" Id="Rf6d928e0bfe644df" /><Relationship Type="http://schemas.openxmlformats.org/officeDocument/2006/relationships/worksheet" Target="/xl/worksheets/sheet3.xml" Id="Rc96e57187d2f4b44" /><Relationship Type="http://schemas.openxmlformats.org/officeDocument/2006/relationships/worksheet" Target="/xl/worksheets/sheet4.xml" Id="R895a701164e04d46" /><Relationship Type="http://schemas.openxmlformats.org/officeDocument/2006/relationships/worksheet" Target="/xl/worksheets/sheet5.xml" Id="R8267a1ac73774f7f" /><Relationship Type="http://schemas.openxmlformats.org/officeDocument/2006/relationships/worksheet" Target="/xl/worksheets/sheet6.xml" Id="R09d1afc9c0114994" /></Relationships>
</file>

<file path=xl/drawings/_rels/drawing1.xml.rels>&#65279;<?xml version="1.0" encoding="utf-8"?><Relationships xmlns="http://schemas.openxmlformats.org/package/2006/relationships"><Relationship Type="http://schemas.openxmlformats.org/officeDocument/2006/relationships/chart" Target="/xl/drawings/charts/chart1.xml" Id="Rdd2bcab8e1564397" /><Relationship Type="http://schemas.openxmlformats.org/officeDocument/2006/relationships/chart" Target="/xl/drawings/charts/chart2.xml" Id="R9bb396d227d84202" /></Relationships>
</file>

<file path=xl/drawings/_rels/drawing2.xml.rels>&#65279;<?xml version="1.0" encoding="utf-8"?><Relationships xmlns="http://schemas.openxmlformats.org/package/2006/relationships"><Relationship Type="http://schemas.openxmlformats.org/officeDocument/2006/relationships/chart" Target="/xl/drawings/charts/chart3.xml" Id="R72b8e098034d418b" /><Relationship Type="http://schemas.openxmlformats.org/officeDocument/2006/relationships/chart" Target="/xl/drawings/charts/chart4.xml" Id="Ra3127e2944564a76" /><Relationship Type="http://schemas.openxmlformats.org/officeDocument/2006/relationships/chart" Target="/xl/drawings/charts/chart5.xml" Id="Rf9c69dc36bc647d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Monthly Cost Composition</a:t>
            </a:r>
          </a:p>
        </c:rich>
      </c:tx>
      <c:overlay val="0"/>
    </c:title>
    <c:autoTitleDeleted val="0"/>
    <c:plotArea>
      <c:layout/>
      <c:barChart>
        <c:barDir val="col"/>
        <c:grouping val="stacked"/>
        <c:varyColors val="0"/>
        <c:ser>
          <c:idx val="0"/>
          <c:order val="0"/>
          <c:tx>
            <c:v>Human labor</c:v>
          </c:tx>
          <c:cat>
            <c:strRef>
              <c:f>='Dashboard'!$I$35:$K$35</c:f>
              <c:strCache>
                <c:ptCount val="0"/>
              </c:strCache>
            </c:strRef>
          </c:cat>
          <c:val>
            <c:numRef>
              <c:f>='Dashboard'!$I$36:$K$36</c:f>
              <c:numCache>
                <c:formatCode>€#,##0.00;[Red](€#,##0.00);-</c:formatCode>
                <c:ptCount val="0"/>
              </c:numCache>
            </c:numRef>
          </c:val>
        </c:ser>
        <c:ser>
          <c:idx val="1"/>
          <c:order val="1"/>
          <c:tx>
            <c:v>Variable technology</c:v>
          </c:tx>
          <c:cat>
            <c:strRef>
              <c:f>='Dashboard'!$I$35:$K$35</c:f>
              <c:strCache>
                <c:ptCount val="0"/>
              </c:strCache>
            </c:strRef>
          </c:cat>
          <c:val>
            <c:numRef>
              <c:f>='Dashboard'!$I$37:$K$37</c:f>
              <c:numCache>
                <c:formatCode>€#,##0.00;[Red](€#,##0.00);-</c:formatCode>
                <c:ptCount val="0"/>
              </c:numCache>
            </c:numRef>
          </c:val>
        </c:ser>
        <c:ser>
          <c:idx val="2"/>
          <c:order val="2"/>
          <c:tx>
            <c:v>Fixed technology</c:v>
          </c:tx>
          <c:cat>
            <c:strRef>
              <c:f>='Dashboard'!$I$35:$K$35</c:f>
              <c:strCache>
                <c:ptCount val="0"/>
              </c:strCache>
            </c:strRef>
          </c:cat>
          <c:val>
            <c:numRef>
              <c:f>='Dashboard'!$I$38:$K$38</c:f>
              <c:numCache>
                <c:formatCode>€#,##0.00;[Red](€#,##0.00);-</c:formatCode>
                <c:ptCount val="0"/>
              </c:numCache>
            </c:numRef>
          </c:val>
        </c:ser>
        <c:ser>
          <c:idx val="3"/>
          <c:order val="3"/>
          <c:tx>
            <c:v>Failure impact</c:v>
          </c:tx>
          <c:cat>
            <c:strRef>
              <c:f>='Dashboard'!$I$35:$K$35</c:f>
              <c:strCache>
                <c:ptCount val="0"/>
              </c:strCache>
            </c:strRef>
          </c:cat>
          <c:val>
            <c:numRef>
              <c:f>='Dashboard'!$I$39:$K$39</c:f>
              <c:numCache>
                <c:formatCode>€#,##0.00;[Red](€#,##0.00);-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Cost per Successful Outcome</a:t>
            </a:r>
          </a:p>
        </c:rich>
      </c:tx>
      <c:overlay val="0"/>
    </c:title>
    <c:autoTitleDeleted val="0"/>
    <c:plotArea>
      <c:layout/>
      <c:barChart>
        <c:barDir val="col"/>
        <c:grouping val="clustered"/>
        <c:varyColors val="0"/>
        <c:ser>
          <c:idx val="0"/>
          <c:order val="0"/>
          <c:tx>
            <c:v>Cost per successful outcome</c:v>
          </c:tx>
          <c:cat>
            <c:strRef>
              <c:f>='Dashboard'!$I$42:$L$42</c:f>
              <c:strCache>
                <c:ptCount val="0"/>
              </c:strCache>
            </c:strRef>
          </c:cat>
          <c:val>
            <c:numRef>
              <c:f>='Dashboard'!$I$43:$L$43</c:f>
              <c:numCache>
                <c:formatCode>€#,##0.00;[Red](€#,##0.00);-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Cost per Outcome vs. Success Rate</a:t>
            </a:r>
          </a:p>
        </c:rich>
      </c:tx>
      <c:overlay val="0"/>
    </c:title>
    <c:autoTitleDeleted val="0"/>
    <c:plotArea>
      <c:layout/>
      <c:lineChart>
        <c:grouping val="standard"/>
        <c:ser>
          <c:idx val="0"/>
          <c:order val="0"/>
          <c:tx>
            <c:v>Cost per successful outcome</c:v>
          </c:tx>
          <c:cat>
            <c:strRef>
              <c:f>='Sensitivity'!$A$6:$A$13</c:f>
              <c:strCache>
                <c:ptCount val="0"/>
              </c:strCache>
            </c:strRef>
          </c:cat>
          <c:val>
            <c:numRef>
              <c:f>='Sensitivity'!$C$6:$C$13</c:f>
              <c:numCache>
                <c:formatCode>€#,##0.00;[Red](€#,##0.00);-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Cost per Outcome vs. Autonomy</a:t>
            </a:r>
          </a:p>
        </c:rich>
      </c:tx>
      <c:overlay val="0"/>
    </c:title>
    <c:autoTitleDeleted val="0"/>
    <c:plotArea>
      <c:layout/>
      <c:lineChart>
        <c:grouping val="standard"/>
        <c:ser>
          <c:idx val="0"/>
          <c:order val="0"/>
          <c:tx>
            <c:v>Cost per successful outcome</c:v>
          </c:tx>
          <c:cat>
            <c:strRef>
              <c:f>='Sensitivity'!$E$6:$E$13</c:f>
              <c:strCache>
                <c:ptCount val="0"/>
              </c:strCache>
            </c:strRef>
          </c:cat>
          <c:val>
            <c:numRef>
              <c:f>='Sensitivity'!$G$6:$G$13</c:f>
              <c:numCache>
                <c:formatCode>€#,##0.00;[Red](€#,##0.00);-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Cost per Outcome vs. Inference Cost</a:t>
            </a:r>
          </a:p>
        </c:rich>
      </c:tx>
      <c:overlay val="0"/>
    </c:title>
    <c:autoTitleDeleted val="0"/>
    <c:plotArea>
      <c:layout/>
      <c:lineChart>
        <c:grouping val="standard"/>
        <c:ser>
          <c:idx val="0"/>
          <c:order val="0"/>
          <c:tx>
            <c:v>Cost per successful outcome</c:v>
          </c:tx>
          <c:cat>
            <c:strRef>
              <c:f>='Sensitivity'!$I$6:$I$13</c:f>
              <c:strCache>
                <c:ptCount val="0"/>
              </c:strCache>
            </c:strRef>
          </c:cat>
          <c:val>
            <c:numRef>
              <c:f>='Sensitivity'!$K$6:$K$13</c:f>
              <c:numCache>
                <c:formatCode>€#,##0.00;[Red](€#,##0.00);-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2bcab8e1564397"/>
        </a:graphicData>
      </a:graphic>
    </xdr:graphicFrame>
    <xdr:clientData/>
  </xdr:twoCellAnchor>
  <xdr:twoCellAnchor>
    <xdr:from>
      <xdr:col>6</xdr:col>
      <xdr:colOff>0</xdr:colOff>
      <xdr:row>19</xdr:row>
      <xdr:rowOff>0</xdr:rowOff>
    </xdr:from>
    <xdr:to>
      <xdr:col>14</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b396d227d84202"/>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15</xdr:row>
      <xdr:rowOff>0</xdr:rowOff>
    </xdr:from>
    <xdr:to>
      <xdr:col>4</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b8e098034d418b"/>
        </a:graphicData>
      </a:graphic>
    </xdr:graphicFrame>
    <xdr:clientData/>
  </xdr:twoCellAnchor>
  <xdr:twoCellAnchor>
    <xdr:from>
      <xdr:col>4</xdr:col>
      <xdr:colOff>0</xdr:colOff>
      <xdr:row>15</xdr:row>
      <xdr:rowOff>0</xdr:rowOff>
    </xdr:from>
    <xdr:to>
      <xdr:col>8</xdr:col>
      <xdr:colOff>0</xdr:colOff>
      <xdr:row>30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3127e2944564a76"/>
        </a:graphicData>
      </a:graphic>
    </xdr:graphicFrame>
    <xdr:clientData/>
  </xdr:twoCellAnchor>
  <xdr:twoCellAnchor>
    <xdr:from>
      <xdr:col>8</xdr:col>
      <xdr:colOff>0</xdr:colOff>
      <xdr:row>15</xdr:row>
      <xdr:rowOff>0</xdr:rowOff>
    </xdr:from>
    <xdr:to>
      <xdr:col>12</xdr:col>
      <xdr:colOff>0</xdr:colOff>
      <xdr:row>30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c69dc36bc647d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81852366f51a4c6b" /></Relationships>
</file>

<file path=xl/worksheets/_rels/sheet4.xml.rels>&#65279;<?xml version="1.0" encoding="utf-8"?><Relationships xmlns="http://schemas.openxmlformats.org/package/2006/relationships"><Relationship Type="http://schemas.openxmlformats.org/officeDocument/2006/relationships/drawing" Target="/xl/drawings/drawing2.xml" Id="Rce80490d4478415d" /></Relationships>
</file>

<file path=xl/worksheets/sheet1.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45" hidden="0" customWidth="1"/>
    <x:col min="5" max="5" width="18" hidden="0" customWidth="1"/>
    <x:col min="6" max="6" width="45" hidden="0" customWidth="1"/>
  </x:cols>
  <x:sheetData>
    <x:row r="1" ht="28" customHeight="1">
      <x:c r="A1" s="5" t="str">
        <x:v>AI Agent Unit Economics Calculator</x:v>
      </x:c>
      <x:c r="B1" s="5"/>
      <x:c r="C1" s="5"/>
      <x:c r="D1" s="5"/>
      <x:c r="E1" s="5"/>
      <x:c r="F1" s="5"/>
    </x:row>
    <x:row r="2" ht="28" customHeight="1">
      <x:c r="A2" s="5"/>
      <x:c r="B2" s="5"/>
      <x:c r="C2" s="5"/>
      <x:c r="D2" s="5"/>
      <x:c r="E2" s="5"/>
      <x:c r="F2" s="5"/>
    </x:row>
    <x:row r="3">
      <x:c r="A3" s="12" t="str">
        <x:v>Common assumptions — edit blue-font cells</x:v>
      </x:c>
      <x:c r="B3" s="12"/>
      <x:c r="C3" s="12"/>
      <x:c r="D3" s="12"/>
      <x:c r="E3" s="12"/>
      <x:c r="F3" s="12"/>
    </x:row>
    <x:row r="4">
      <x:c r="A4" s="20" t="str">
        <x:v>Assumption</x:v>
      </x:c>
      <x:c r="B4" s="20" t="str">
        <x:v>Input</x:v>
      </x:c>
      <x:c r="C4" s="20" t="str">
        <x:v>Units</x:v>
      </x:c>
      <x:c r="D4" s="20" t="str">
        <x:v>Purpose</x:v>
      </x:c>
      <x:c r="E4" s="20" t="str"/>
      <x:c r="F4" s="20" t="str"/>
    </x:row>
    <x:row r="5">
      <x:c r="A5" s="56" t="str">
        <x:v>Monthly task volume</x:v>
      </x:c>
      <x:c r="B5" s="72" t="n">
        <x:v>1000</x:v>
      </x:c>
      <x:c r="C5" s="57" t="str">
        <x:v>tasks / month</x:v>
      </x:c>
      <x:c r="D5" s="58" t="str">
        <x:v>Demand processed by the baseline or agent.</x:v>
      </x:c>
      <x:c r="E5" t="str"/>
      <x:c r="F5" t="str"/>
    </x:row>
    <x:row r="6">
      <x:c r="A6" s="59" t="str">
        <x:v>Currency code</x:v>
      </x:c>
      <x:c r="B6" s="34" t="str">
        <x:v>EUR</x:v>
      </x:c>
      <x:c r="C6" s="45" t="str">
        <x:v>code</x:v>
      </x:c>
      <x:c r="D6" s="60" t="str">
        <x:v>Display convention for this workbook.</x:v>
      </x:c>
      <x:c r="E6" t="str"/>
      <x:c r="F6" t="str"/>
    </x:row>
    <x:row r="7">
      <x:c r="A7" s="59" t="str">
        <x:v>Loaded human labor cost</x:v>
      </x:c>
      <x:c r="B7" s="74" t="n">
        <x:v>60</x:v>
      </x:c>
      <x:c r="C7" s="45" t="str">
        <x:v>EUR / hour</x:v>
      </x:c>
      <x:c r="D7" s="60" t="str">
        <x:v>Salary, benefits, overhead, and opportunity cost.</x:v>
      </x:c>
      <x:c r="E7" t="str"/>
      <x:c r="F7" t="str"/>
    </x:row>
    <x:row r="8">
      <x:c r="A8" s="59" t="str">
        <x:v>Business value per successful outcome</x:v>
      </x:c>
      <x:c r="B8" s="74" t="n">
        <x:v>25</x:v>
      </x:c>
      <x:c r="C8" s="45" t="str">
        <x:v>EUR / outcome</x:v>
      </x:c>
      <x:c r="D8" s="60" t="str">
        <x:v>Incremental value created when one task is completed correctly.</x:v>
      </x:c>
      <x:c r="E8" t="str"/>
      <x:c r="F8" t="str"/>
    </x:row>
    <x:row r="9">
      <x:c r="A9" s="59" t="str">
        <x:v>Manual baseline handling time</x:v>
      </x:c>
      <x:c r="B9" s="76" t="n">
        <x:v>18</x:v>
      </x:c>
      <x:c r="C9" s="45" t="str">
        <x:v>minutes / task</x:v>
      </x:c>
      <x:c r="D9" s="60" t="str">
        <x:v>Average human effort before introducing the agent.</x:v>
      </x:c>
      <x:c r="E9" t="str"/>
      <x:c r="F9" t="str"/>
    </x:row>
    <x:row r="10">
      <x:c r="A10" s="59" t="str">
        <x:v>Manual baseline success rate</x:v>
      </x:c>
      <x:c r="B10" s="78" t="n">
        <x:v>0.9</x:v>
      </x:c>
      <x:c r="C10" s="45" t="str">
        <x:v>%</x:v>
      </x:c>
      <x:c r="D10" s="60" t="str">
        <x:v>Share of tasks completed correctly by the current manual process.</x:v>
      </x:c>
      <x:c r="E10" t="str"/>
      <x:c r="F10" t="str"/>
    </x:row>
    <x:row r="11">
      <x:c r="A11" s="61" t="str">
        <x:v>Business impact per failed task</x:v>
      </x:c>
      <x:c r="B11" s="80" t="n">
        <x:v>20</x:v>
      </x:c>
      <x:c r="C11" s="62" t="str">
        <x:v>EUR / failure</x:v>
      </x:c>
      <x:c r="D11" s="63" t="str">
        <x:v>Operational consequence beyond the labor needed for fallback.</x:v>
      </x:c>
      <x:c r="E11" t="str"/>
      <x:c r="F11" t="str"/>
    </x:row>
    <x:row r="13">
      <x:c r="A13" s="12" t="str">
        <x:v>Agent scenario assumptions</x:v>
      </x:c>
      <x:c r="B13" s="12"/>
      <x:c r="C13" s="12"/>
      <x:c r="D13" s="12"/>
      <x:c r="E13" s="12"/>
      <x:c r="F13" s="12"/>
    </x:row>
    <x:row r="14">
      <x:c r="A14" s="20" t="str">
        <x:v>Metric</x:v>
      </x:c>
      <x:c r="B14" s="20" t="str">
        <x:v>Units</x:v>
      </x:c>
      <x:c r="C14" s="20" t="str">
        <x:v>Token Saver</x:v>
      </x:c>
      <x:c r="D14" s="20" t="str">
        <x:v>High Accuracy,
Heavy Review</x:v>
      </x:c>
      <x:c r="E14" s="20" t="str">
        <x:v>Outcome Optimized</x:v>
      </x:c>
      <x:c r="F14" s="20" t="str">
        <x:v>Guidance</x:v>
      </x:c>
    </x:row>
    <x:row r="15">
      <x:c r="A15" s="56" t="str">
        <x:v>End-to-end success rate</x:v>
      </x:c>
      <x:c r="B15" s="120" t="str">
        <x:v>% of tasks</x:v>
      </x:c>
      <x:c r="C15" s="124" t="n">
        <x:v>0.75</x:v>
      </x:c>
      <x:c r="D15" s="125" t="n">
        <x:v>0.93</x:v>
      </x:c>
      <x:c r="E15" s="126" t="n">
        <x:v>0.96</x:v>
      </x:c>
      <x:c r="F15" s="58" t="str">
        <x:v>Correctly completed business tasks, not merely returned responses.</x:v>
      </x:c>
    </x:row>
    <x:row r="16">
      <x:c r="A16" s="59" t="str">
        <x:v>Autonomous success rate</x:v>
      </x:c>
      <x:c r="B16" s="83" t="str">
        <x:v>% of tasks</x:v>
      </x:c>
      <x:c r="C16" s="127" t="n">
        <x:v>0.45</x:v>
      </x:c>
      <x:c r="D16" s="128" t="n">
        <x:v>0.35</x:v>
      </x:c>
      <x:c r="E16" s="129" t="n">
        <x:v>0.72</x:v>
      </x:c>
      <x:c r="F16" s="60" t="str">
        <x:v>Successful outcomes requiring no human intervention.</x:v>
      </x:c>
    </x:row>
    <x:row r="17">
      <x:c r="A17" s="59" t="str">
        <x:v>Human minutes per assisted success</x:v>
      </x:c>
      <x:c r="B17" s="83" t="str">
        <x:v>minutes</x:v>
      </x:c>
      <x:c r="C17" s="136" t="n">
        <x:v>8</x:v>
      </x:c>
      <x:c r="D17" s="137" t="n">
        <x:v>7</x:v>
      </x:c>
      <x:c r="E17" s="138" t="n">
        <x:v>5</x:v>
      </x:c>
      <x:c r="F17" s="60" t="str">
        <x:v>Average expert effort for a successful task that needs assistance.</x:v>
      </x:c>
    </x:row>
    <x:row r="18">
      <x:c r="A18" s="59" t="str">
        <x:v>QA sample rate on autonomous outcomes</x:v>
      </x:c>
      <x:c r="B18" s="83" t="str">
        <x:v>% of autonomous</x:v>
      </x:c>
      <x:c r="C18" s="127" t="n">
        <x:v>0.1</x:v>
      </x:c>
      <x:c r="D18" s="128" t="n">
        <x:v>0.6</x:v>
      </x:c>
      <x:c r="E18" s="129" t="n">
        <x:v>0.15</x:v>
      </x:c>
      <x:c r="F18" s="60" t="str">
        <x:v>Share of autonomous successes reviewed for quality assurance.</x:v>
      </x:c>
    </x:row>
    <x:row r="19">
      <x:c r="A19" s="59" t="str">
        <x:v>QA minutes per sampled outcome</x:v>
      </x:c>
      <x:c r="B19" s="83" t="str">
        <x:v>minutes</x:v>
      </x:c>
      <x:c r="C19" s="136" t="n">
        <x:v>2</x:v>
      </x:c>
      <x:c r="D19" s="137" t="n">
        <x:v>3</x:v>
      </x:c>
      <x:c r="E19" s="138" t="n">
        <x:v>2</x:v>
      </x:c>
      <x:c r="F19" s="60" t="str">
        <x:v>Average time to inspect one sampled autonomous outcome.</x:v>
      </x:c>
    </x:row>
    <x:row r="20">
      <x:c r="A20" s="59" t="str">
        <x:v>Rework rate</x:v>
      </x:c>
      <x:c r="B20" s="83" t="str">
        <x:v>% of all tasks</x:v>
      </x:c>
      <x:c r="C20" s="127" t="n">
        <x:v>0.25</x:v>
      </x:c>
      <x:c r="D20" s="128" t="n">
        <x:v>0.18</x:v>
      </x:c>
      <x:c r="E20" s="129" t="n">
        <x:v>0.07</x:v>
      </x:c>
      <x:c r="F20" s="60" t="str">
        <x:v>Tasks requiring correction after the initial agent run.</x:v>
      </x:c>
    </x:row>
    <x:row r="21">
      <x:c r="A21" s="59" t="str">
        <x:v>Rework minutes per task</x:v>
      </x:c>
      <x:c r="B21" s="83" t="str">
        <x:v>minutes</x:v>
      </x:c>
      <x:c r="C21" s="136" t="n">
        <x:v>10</x:v>
      </x:c>
      <x:c r="D21" s="137" t="n">
        <x:v>8</x:v>
      </x:c>
      <x:c r="E21" s="138" t="n">
        <x:v>6</x:v>
      </x:c>
      <x:c r="F21" s="60" t="str">
        <x:v>Average specialist effort for a reworked task.</x:v>
      </x:c>
    </x:row>
    <x:row r="22">
      <x:c r="A22" s="59" t="str">
        <x:v>Manual fallback minutes per failed task</x:v>
      </x:c>
      <x:c r="B22" s="83" t="str">
        <x:v>minutes</x:v>
      </x:c>
      <x:c r="C22" s="136" t="n">
        <x:v>15</x:v>
      </x:c>
      <x:c r="D22" s="137" t="n">
        <x:v>15</x:v>
      </x:c>
      <x:c r="E22" s="138" t="n">
        <x:v>12</x:v>
      </x:c>
      <x:c r="F22" s="60" t="str">
        <x:v>Effort to finish a task the agent did not complete correctly.</x:v>
      </x:c>
    </x:row>
    <x:row r="23">
      <x:c r="A23" s="59" t="str">
        <x:v>Average agent runs per task</x:v>
      </x:c>
      <x:c r="B23" s="83" t="str">
        <x:v>runs / task</x:v>
      </x:c>
      <x:c r="C23" s="136" t="n">
        <x:v>1.2</x:v>
      </x:c>
      <x:c r="D23" s="137" t="n">
        <x:v>1.9</x:v>
      </x:c>
      <x:c r="E23" s="138" t="n">
        <x:v>1.5</x:v>
      </x:c>
      <x:c r="F23" s="60" t="str">
        <x:v>Includes retries and multi-step model calls.</x:v>
      </x:c>
    </x:row>
    <x:row r="24">
      <x:c r="A24" s="59" t="str">
        <x:v>Inference cost per agent run</x:v>
      </x:c>
      <x:c r="B24" s="83" t="str">
        <x:v>EUR / run</x:v>
      </x:c>
      <x:c r="C24" s="142" t="n">
        <x:v>0.04</x:v>
      </x:c>
      <x:c r="D24" s="143" t="n">
        <x:v>0.18</x:v>
      </x:c>
      <x:c r="E24" s="144" t="n">
        <x:v>0.1</x:v>
      </x:c>
      <x:c r="F24" s="60" t="str">
        <x:v>Model inference cost for one average run.</x:v>
      </x:c>
    </x:row>
    <x:row r="25">
      <x:c r="A25" s="59" t="str">
        <x:v>Tool and API cost per task</x:v>
      </x:c>
      <x:c r="B25" s="83" t="str">
        <x:v>EUR / task</x:v>
      </x:c>
      <x:c r="C25" s="142" t="n">
        <x:v>0.03</x:v>
      </x:c>
      <x:c r="D25" s="143" t="n">
        <x:v>0.06</x:v>
      </x:c>
      <x:c r="E25" s="144" t="n">
        <x:v>0.04</x:v>
      </x:c>
      <x:c r="F25" s="60" t="str">
        <x:v>Search, retrieval, external APIs, compute, and related variable cost.</x:v>
      </x:c>
    </x:row>
    <x:row r="26">
      <x:c r="A26" s="59" t="str">
        <x:v>Telemetry and evaluation cost per task</x:v>
      </x:c>
      <x:c r="B26" s="83" t="str">
        <x:v>EUR / task</x:v>
      </x:c>
      <x:c r="C26" s="142" t="n">
        <x:v>0.01</x:v>
      </x:c>
      <x:c r="D26" s="143" t="n">
        <x:v>0.04</x:v>
      </x:c>
      <x:c r="E26" s="144" t="n">
        <x:v>0.025</x:v>
      </x:c>
      <x:c r="F26" s="60" t="str">
        <x:v>Tracing, retention, automated evaluation, and monitoring.</x:v>
      </x:c>
    </x:row>
    <x:row r="27">
      <x:c r="A27" s="59" t="str">
        <x:v>Fixed platform cost</x:v>
      </x:c>
      <x:c r="B27" s="83" t="str">
        <x:v>EUR / month</x:v>
      </x:c>
      <x:c r="C27" s="148" t="n">
        <x:v>700</x:v>
      </x:c>
      <x:c r="D27" s="149" t="n">
        <x:v>900</x:v>
      </x:c>
      <x:c r="E27" s="150" t="n">
        <x:v>850</x:v>
      </x:c>
      <x:c r="F27" s="60" t="str">
        <x:v>Runtime, platform, storage, and shared infrastructure allocation.</x:v>
      </x:c>
    </x:row>
    <x:row r="28">
      <x:c r="A28" s="59" t="str">
        <x:v>Operations and maintenance</x:v>
      </x:c>
      <x:c r="B28" s="83" t="str">
        <x:v>EUR / month</x:v>
      </x:c>
      <x:c r="C28" s="148" t="n">
        <x:v>1000</x:v>
      </x:c>
      <x:c r="D28" s="149" t="n">
        <x:v>1400</x:v>
      </x:c>
      <x:c r="E28" s="150" t="n">
        <x:v>1100</x:v>
      </x:c>
      <x:c r="F28" s="60" t="str">
        <x:v>Monitoring, incident handling, prompt/tool maintenance, and support.</x:v>
      </x:c>
    </x:row>
    <x:row r="29">
      <x:c r="A29" s="61" t="str">
        <x:v>Amortized development and change cost</x:v>
      </x:c>
      <x:c r="B29" s="121" t="str">
        <x:v>EUR / month</x:v>
      </x:c>
      <x:c r="C29" s="151" t="n">
        <x:v>600</x:v>
      </x:c>
      <x:c r="D29" s="152" t="n">
        <x:v>700</x:v>
      </x:c>
      <x:c r="E29" s="153" t="n">
        <x:v>650</x:v>
      </x:c>
      <x:c r="F29" s="63" t="str">
        <x:v>Monthly allocation of build, testing, and controlled improvement work.</x:v>
      </x:c>
    </x:row>
    <x:row r="31">
      <x:c r="A31" s="179" t="str">
        <x:v>Illustrative defaults only. Replace them with measured production data. A successful outcome must be defined at business-task level before the model is used.</x:v>
      </x:c>
      <x:c r="B31" s="180"/>
      <x:c r="C31" s="180"/>
      <x:c r="D31" s="180"/>
      <x:c r="E31" s="180"/>
      <x:c r="F31" s="181"/>
    </x:row>
    <x:row r="32">
      <x:c r="A32" s="182"/>
      <x:c r="B32" s="183"/>
      <x:c r="C32" s="183"/>
      <x:c r="D32" s="183"/>
      <x:c r="E32" s="183"/>
      <x:c r="F32" s="184"/>
    </x:row>
    <x:row r="33">
      <x:c r="A33" s="185"/>
      <x:c r="B33" s="186"/>
      <x:c r="C33" s="186"/>
      <x:c r="D33" s="186"/>
      <x:c r="E33" s="186"/>
      <x:c r="F33" s="187"/>
    </x:row>
  </x:sheetData>
  <x:mergeCells>
    <x:mergeCell ref="A1:F2"/>
    <x:mergeCell ref="A3:F3"/>
    <x:mergeCell ref="A13:F13"/>
    <x:mergeCell ref="A31:F33"/>
  </x:mergeCells>
  <x:conditionalFormatting sqref="C16:E16">
    <x:cfRule type="expression" dxfId="0" priority="1">
      <x:formula>C16&gt;C15</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18" hidden="0" customWidth="1"/>
    <x:col min="3" max="3" width="18" hidden="0" customWidth="1"/>
    <x:col min="4" max="4" width="18" hidden="0" customWidth="1"/>
    <x:col min="5" max="5" width="18" hidden="0" customWidth="1"/>
  </x:cols>
  <x:sheetData>
    <x:row r="1">
      <x:c r="A1" s="5" t="str">
        <x:v>Calculation Engine</x:v>
      </x:c>
      <x:c r="B1" s="5"/>
      <x:c r="C1" s="5"/>
      <x:c r="D1" s="5"/>
      <x:c r="E1" s="5"/>
    </x:row>
    <x:row r="2">
      <x:c r="A2" s="5"/>
      <x:c r="B2" s="5"/>
      <x:c r="C2" s="5"/>
      <x:c r="D2" s="5"/>
      <x:c r="E2" s="5"/>
    </x:row>
    <x:row r="4">
      <x:c r="A4" s="20" t="str">
        <x:v>Metric</x:v>
      </x:c>
      <x:c r="B4" s="20" t="str">
        <x:v>Manual Baseline</x:v>
      </x:c>
      <x:c r="C4" s="20" t="str">
        <x:v>Token Saver</x:v>
      </x:c>
      <x:c r="D4" s="20" t="str">
        <x:v>High Accuracy</x:v>
      </x:c>
      <x:c r="E4" s="20" t="str">
        <x:v>Outcome Optimized</x:v>
      </x:c>
    </x:row>
    <x:row r="5">
      <x:c r="A5" s="220" t="str">
        <x:v>Monthly tasks</x:v>
      </x:c>
      <x:c r="B5" s="296" t="n">
        <x:f>'Scenario Inputs'!B5</x:f>
        <x:v>1000</x:v>
      </x:c>
      <x:c r="C5" s="297" t="n">
        <x:f>'Scenario Inputs'!B5</x:f>
        <x:v>1000</x:v>
      </x:c>
      <x:c r="D5" s="297" t="n">
        <x:f>'Scenario Inputs'!B5</x:f>
        <x:v>1000</x:v>
      </x:c>
      <x:c r="E5" s="298" t="n">
        <x:f>'Scenario Inputs'!B5</x:f>
        <x:v>1000</x:v>
      </x:c>
    </x:row>
    <x:row r="6">
      <x:c r="A6" s="221" t="str">
        <x:v>End-to-end success rate</x:v>
      </x:c>
      <x:c r="B6" s="308" t="n">
        <x:f>'Scenario Inputs'!B10</x:f>
        <x:v>0.9</x:v>
      </x:c>
      <x:c r="C6" s="309" t="n">
        <x:f>'Scenario Inputs'!C15</x:f>
        <x:v>0.75</x:v>
      </x:c>
      <x:c r="D6" s="309" t="n">
        <x:f>'Scenario Inputs'!D15</x:f>
        <x:v>0.93</x:v>
      </x:c>
      <x:c r="E6" s="310" t="n">
        <x:f>'Scenario Inputs'!E15</x:f>
        <x:v>0.96</x:v>
      </x:c>
    </x:row>
    <x:row r="7">
      <x:c r="A7" s="221" t="str">
        <x:v>Autonomous success rate</x:v>
      </x:c>
      <x:c r="B7" s="308" t="n">
        <x:f>0</x:f>
        <x:v>0</x:v>
      </x:c>
      <x:c r="C7" s="309" t="n">
        <x:f>'Scenario Inputs'!C16</x:f>
        <x:v>0.45</x:v>
      </x:c>
      <x:c r="D7" s="309" t="n">
        <x:f>'Scenario Inputs'!D16</x:f>
        <x:v>0.35</x:v>
      </x:c>
      <x:c r="E7" s="310" t="n">
        <x:f>'Scenario Inputs'!E16</x:f>
        <x:v>0.72</x:v>
      </x:c>
    </x:row>
    <x:row r="8">
      <x:c r="A8" s="221" t="str">
        <x:v>Successful outcomes</x:v>
      </x:c>
      <x:c r="B8" s="302" t="n">
        <x:f>B5*B6</x:f>
        <x:v>900</x:v>
      </x:c>
      <x:c r="C8" s="303" t="n">
        <x:f>C5*C6</x:f>
        <x:v>750</x:v>
      </x:c>
      <x:c r="D8" s="303" t="n">
        <x:f>D5*D6</x:f>
        <x:v>930</x:v>
      </x:c>
      <x:c r="E8" s="304" t="n">
        <x:f>E5*E6</x:f>
        <x:v>960</x:v>
      </x:c>
    </x:row>
    <x:row r="9">
      <x:c r="A9" s="221" t="str">
        <x:v>Autonomous successes</x:v>
      </x:c>
      <x:c r="B9" s="302" t="n">
        <x:f>0</x:f>
        <x:v>0</x:v>
      </x:c>
      <x:c r="C9" s="303" t="n">
        <x:f>C5*C7</x:f>
        <x:v>450</x:v>
      </x:c>
      <x:c r="D9" s="303" t="n">
        <x:f>D5*D7</x:f>
        <x:v>350</x:v>
      </x:c>
      <x:c r="E9" s="304" t="n">
        <x:f>E5*E7</x:f>
        <x:v>720</x:v>
      </x:c>
    </x:row>
    <x:row r="10">
      <x:c r="A10" s="221" t="str">
        <x:v>Assisted successes</x:v>
      </x:c>
      <x:c r="B10" s="302" t="n">
        <x:f>B8</x:f>
        <x:v>900</x:v>
      </x:c>
      <x:c r="C10" s="303" t="n">
        <x:f>C8-C9</x:f>
        <x:v>300</x:v>
      </x:c>
      <x:c r="D10" s="303" t="n">
        <x:f>D8-D9</x:f>
        <x:v>580</x:v>
      </x:c>
      <x:c r="E10" s="304" t="n">
        <x:f>E8-E9</x:f>
        <x:v>240</x:v>
      </x:c>
    </x:row>
    <x:row r="11">
      <x:c r="A11" s="221" t="str">
        <x:v>Failed tasks</x:v>
      </x:c>
      <x:c r="B11" s="302" t="n">
        <x:f>B5-B8</x:f>
        <x:v>100</x:v>
      </x:c>
      <x:c r="C11" s="303" t="n">
        <x:f>C5-C8</x:f>
        <x:v>250</x:v>
      </x:c>
      <x:c r="D11" s="303" t="n">
        <x:f>D5-D8</x:f>
        <x:v>70</x:v>
      </x:c>
      <x:c r="E11" s="304" t="n">
        <x:f>E5-E8</x:f>
        <x:v>40</x:v>
      </x:c>
    </x:row>
    <x:row r="12">
      <x:c r="A12" s="221" t="str">
        <x:v>QA-reviewed autonomous outcomes</x:v>
      </x:c>
      <x:c r="B12" s="302" t="n">
        <x:f>0</x:f>
        <x:v>0</x:v>
      </x:c>
      <x:c r="C12" s="303" t="n">
        <x:f>C9*'Scenario Inputs'!C18</x:f>
        <x:v>45</x:v>
      </x:c>
      <x:c r="D12" s="303" t="n">
        <x:f>D9*'Scenario Inputs'!D18</x:f>
        <x:v>210</x:v>
      </x:c>
      <x:c r="E12" s="304" t="n">
        <x:f>E9*'Scenario Inputs'!E18</x:f>
        <x:v>108</x:v>
      </x:c>
    </x:row>
    <x:row r="13">
      <x:c r="A13" s="221" t="str">
        <x:v>Reworked tasks</x:v>
      </x:c>
      <x:c r="B13" s="302" t="n">
        <x:f>0</x:f>
        <x:v>0</x:v>
      </x:c>
      <x:c r="C13" s="303" t="n">
        <x:f>C5*'Scenario Inputs'!C20</x:f>
        <x:v>250</x:v>
      </x:c>
      <x:c r="D13" s="303" t="n">
        <x:f>D5*'Scenario Inputs'!D20</x:f>
        <x:v>180</x:v>
      </x:c>
      <x:c r="E13" s="304" t="n">
        <x:f>E5*'Scenario Inputs'!E20</x:f>
        <x:v>70</x:v>
      </x:c>
    </x:row>
    <x:row r="14">
      <x:c r="A14" s="221" t="str">
        <x:v>Human hours — baseline / assisted</x:v>
      </x:c>
      <x:c r="B14" s="302" t="n">
        <x:f>B5*'Scenario Inputs'!B9/60</x:f>
        <x:v>300</x:v>
      </x:c>
      <x:c r="C14" s="303" t="n">
        <x:f>C10*'Scenario Inputs'!C17/60</x:f>
        <x:v>40</x:v>
      </x:c>
      <x:c r="D14" s="303" t="n">
        <x:f>D10*'Scenario Inputs'!D17/60</x:f>
        <x:v>67.66666666666667</x:v>
      </x:c>
      <x:c r="E14" s="304" t="n">
        <x:f>E10*'Scenario Inputs'!E17/60</x:f>
        <x:v>20</x:v>
      </x:c>
    </x:row>
    <x:row r="15">
      <x:c r="A15" s="221" t="str">
        <x:v>Human hours — QA</x:v>
      </x:c>
      <x:c r="B15" s="302" t="n">
        <x:f>0</x:f>
        <x:v>0</x:v>
      </x:c>
      <x:c r="C15" s="303" t="n">
        <x:f>C12*'Scenario Inputs'!C19/60</x:f>
        <x:v>1.5</x:v>
      </x:c>
      <x:c r="D15" s="303" t="n">
        <x:f>D12*'Scenario Inputs'!D19/60</x:f>
        <x:v>10.5</x:v>
      </x:c>
      <x:c r="E15" s="304" t="n">
        <x:f>E12*'Scenario Inputs'!E19/60</x:f>
        <x:v>3.6</x:v>
      </x:c>
    </x:row>
    <x:row r="16">
      <x:c r="A16" s="221" t="str">
        <x:v>Human hours — rework</x:v>
      </x:c>
      <x:c r="B16" s="302" t="n">
        <x:f>0</x:f>
        <x:v>0</x:v>
      </x:c>
      <x:c r="C16" s="303" t="n">
        <x:f>C13*'Scenario Inputs'!C21/60</x:f>
        <x:v>41.666666666666664</x:v>
      </x:c>
      <x:c r="D16" s="303" t="n">
        <x:f>D13*'Scenario Inputs'!D21/60</x:f>
        <x:v>24</x:v>
      </x:c>
      <x:c r="E16" s="304" t="n">
        <x:f>E13*'Scenario Inputs'!E21/60</x:f>
        <x:v>7</x:v>
      </x:c>
    </x:row>
    <x:row r="17">
      <x:c r="A17" s="221" t="str">
        <x:v>Human hours — failed-task fallback</x:v>
      </x:c>
      <x:c r="B17" s="302" t="n">
        <x:f>0</x:f>
        <x:v>0</x:v>
      </x:c>
      <x:c r="C17" s="303" t="n">
        <x:f>C11*'Scenario Inputs'!C22/60</x:f>
        <x:v>62.5</x:v>
      </x:c>
      <x:c r="D17" s="303" t="n">
        <x:f>D11*'Scenario Inputs'!D22/60</x:f>
        <x:v>17.5</x:v>
      </x:c>
      <x:c r="E17" s="304" t="n">
        <x:f>E11*'Scenario Inputs'!E22/60</x:f>
        <x:v>8</x:v>
      </x:c>
    </x:row>
    <x:row r="18">
      <x:c r="A18" s="362" t="str">
        <x:v>Total human hours</x:v>
      </x:c>
      <x:c r="B18" s="363" t="n">
        <x:f>SUM(B14:B17)</x:f>
        <x:v>300</x:v>
      </x:c>
      <x:c r="C18" s="364" t="n">
        <x:f>SUM(C14:C17)</x:f>
        <x:v>145.66666666666666</x:v>
      </x:c>
      <x:c r="D18" s="364" t="n">
        <x:f>SUM(D14:D17)</x:f>
        <x:v>119.66666666666667</x:v>
      </x:c>
      <x:c r="E18" s="365" t="n">
        <x:f>SUM(E14:E17)</x:f>
        <x:v>38.6</x:v>
      </x:c>
    </x:row>
    <x:row r="19">
      <x:c r="A19" s="362" t="str">
        <x:v>Human labor cost</x:v>
      </x:c>
      <x:c r="B19" s="390" t="n">
        <x:f>B18*'Scenario Inputs'!B7</x:f>
        <x:v>18000</x:v>
      </x:c>
      <x:c r="C19" s="391" t="n">
        <x:f>C18*'Scenario Inputs'!B7</x:f>
        <x:v>8740</x:v>
      </x:c>
      <x:c r="D19" s="391" t="n">
        <x:f>D18*'Scenario Inputs'!B7</x:f>
        <x:v>7180</x:v>
      </x:c>
      <x:c r="E19" s="392" t="n">
        <x:f>E18*'Scenario Inputs'!B7</x:f>
        <x:v>2316</x:v>
      </x:c>
    </x:row>
    <x:row r="20">
      <x:c r="A20" s="221" t="str">
        <x:v>Average agent runs per task</x:v>
      </x:c>
      <x:c r="B20" s="350" t="n">
        <x:f>0</x:f>
        <x:v>0</x:v>
      </x:c>
      <x:c r="C20" s="351" t="n">
        <x:f>'Scenario Inputs'!C23</x:f>
        <x:v>1.2</x:v>
      </x:c>
      <x:c r="D20" s="351" t="n">
        <x:f>'Scenario Inputs'!D23</x:f>
        <x:v>1.9</x:v>
      </x:c>
      <x:c r="E20" s="352" t="n">
        <x:f>'Scenario Inputs'!E23</x:f>
        <x:v>1.5</x:v>
      </x:c>
    </x:row>
    <x:row r="21">
      <x:c r="A21" s="221" t="str">
        <x:v>Inference cost</x:v>
      </x:c>
      <x:c r="B21" s="332" t="n">
        <x:f>0</x:f>
        <x:v>0</x:v>
      </x:c>
      <x:c r="C21" s="333" t="n">
        <x:f>C5*C20*'Scenario Inputs'!C24</x:f>
        <x:v>48</x:v>
      </x:c>
      <x:c r="D21" s="333" t="n">
        <x:f>D5*D20*'Scenario Inputs'!D24</x:f>
        <x:v>342</x:v>
      </x:c>
      <x:c r="E21" s="334" t="n">
        <x:f>E5*E20*'Scenario Inputs'!E24</x:f>
        <x:v>150</x:v>
      </x:c>
    </x:row>
    <x:row r="22">
      <x:c r="A22" s="230" t="str">
        <x:v>Tool and API cost</x:v>
      </x:c>
      <x:c r="B22" s="338" t="n">
        <x:f>0</x:f>
        <x:v>0</x:v>
      </x:c>
      <x:c r="C22" s="339" t="n">
        <x:f>C5*'Scenario Inputs'!C25</x:f>
        <x:v>30</x:v>
      </x:c>
      <x:c r="D22" s="339" t="n">
        <x:f>D5*'Scenario Inputs'!D25</x:f>
        <x:v>60</x:v>
      </x:c>
      <x:c r="E22" s="340" t="n">
        <x:f>E5*'Scenario Inputs'!E25</x:f>
        <x:v>40</x:v>
      </x:c>
    </x:row>
    <x:row r="23">
      <x:c r="A23" s="221" t="str">
        <x:v>Telemetry and evaluation cost</x:v>
      </x:c>
      <x:c r="B23" s="332" t="n">
        <x:f>0</x:f>
        <x:v>0</x:v>
      </x:c>
      <x:c r="C23" s="333" t="n">
        <x:f>C5*'Scenario Inputs'!C26</x:f>
        <x:v>10</x:v>
      </x:c>
      <x:c r="D23" s="333" t="n">
        <x:f>D5*'Scenario Inputs'!D26</x:f>
        <x:v>40</x:v>
      </x:c>
      <x:c r="E23" s="334" t="n">
        <x:f>E5*'Scenario Inputs'!E26</x:f>
        <x:v>25</x:v>
      </x:c>
    </x:row>
    <x:row r="24">
      <x:c r="A24" s="362" t="str">
        <x:v>Variable technology cost</x:v>
      </x:c>
      <x:c r="B24" s="390" t="n">
        <x:f>SUM(B21:B23)</x:f>
        <x:v>0</x:v>
      </x:c>
      <x:c r="C24" s="391" t="n">
        <x:f>SUM(C21:C23)</x:f>
        <x:v>88</x:v>
      </x:c>
      <x:c r="D24" s="391" t="n">
        <x:f>SUM(D21:D23)</x:f>
        <x:v>442</x:v>
      </x:c>
      <x:c r="E24" s="392" t="n">
        <x:f>SUM(E21:E23)</x:f>
        <x:v>215</x:v>
      </x:c>
    </x:row>
    <x:row r="25">
      <x:c r="A25" s="221" t="str">
        <x:v>Fixed platform cost</x:v>
      </x:c>
      <x:c r="B25" s="341" t="n">
        <x:f>0</x:f>
        <x:v>0</x:v>
      </x:c>
      <x:c r="C25" s="342" t="n">
        <x:f>'Scenario Inputs'!C27</x:f>
        <x:v>700</x:v>
      </x:c>
      <x:c r="D25" s="342" t="n">
        <x:f>'Scenario Inputs'!D27</x:f>
        <x:v>900</x:v>
      </x:c>
      <x:c r="E25" s="343" t="n">
        <x:f>'Scenario Inputs'!E27</x:f>
        <x:v>850</x:v>
      </x:c>
    </x:row>
    <x:row r="26">
      <x:c r="A26" s="221" t="str">
        <x:v>Operations and maintenance</x:v>
      </x:c>
      <x:c r="B26" s="341" t="n">
        <x:f>0</x:f>
        <x:v>0</x:v>
      </x:c>
      <x:c r="C26" s="342" t="n">
        <x:f>'Scenario Inputs'!C28</x:f>
        <x:v>1000</x:v>
      </x:c>
      <x:c r="D26" s="342" t="n">
        <x:f>'Scenario Inputs'!D28</x:f>
        <x:v>1400</x:v>
      </x:c>
      <x:c r="E26" s="343" t="n">
        <x:f>'Scenario Inputs'!E28</x:f>
        <x:v>1100</x:v>
      </x:c>
    </x:row>
    <x:row r="27">
      <x:c r="A27" s="221" t="str">
        <x:v>Amortized development and change cost</x:v>
      </x:c>
      <x:c r="B27" s="341" t="n">
        <x:f>0</x:f>
        <x:v>0</x:v>
      </x:c>
      <x:c r="C27" s="342" t="n">
        <x:f>'Scenario Inputs'!C29</x:f>
        <x:v>600</x:v>
      </x:c>
      <x:c r="D27" s="342" t="n">
        <x:f>'Scenario Inputs'!D29</x:f>
        <x:v>700</x:v>
      </x:c>
      <x:c r="E27" s="343" t="n">
        <x:f>'Scenario Inputs'!E29</x:f>
        <x:v>650</x:v>
      </x:c>
    </x:row>
    <x:row r="28">
      <x:c r="A28" s="362" t="str">
        <x:v>Fixed technology cost</x:v>
      </x:c>
      <x:c r="B28" s="390" t="n">
        <x:f>SUM(B25:B27)</x:f>
        <x:v>0</x:v>
      </x:c>
      <x:c r="C28" s="391" t="n">
        <x:f>SUM(C25:C27)</x:f>
        <x:v>2300</x:v>
      </x:c>
      <x:c r="D28" s="391" t="n">
        <x:f>SUM(D25:D27)</x:f>
        <x:v>3000</x:v>
      </x:c>
      <x:c r="E28" s="392" t="n">
        <x:f>SUM(E25:E27)</x:f>
        <x:v>2600</x:v>
      </x:c>
    </x:row>
    <x:row r="29">
      <x:c r="A29" s="362" t="str">
        <x:v>Failure business impact</x:v>
      </x:c>
      <x:c r="B29" s="390" t="n">
        <x:f>B11*'Scenario Inputs'!B11</x:f>
        <x:v>2000</x:v>
      </x:c>
      <x:c r="C29" s="391" t="n">
        <x:f>C11*'Scenario Inputs'!B11</x:f>
        <x:v>5000</x:v>
      </x:c>
      <x:c r="D29" s="391" t="n">
        <x:f>D11*'Scenario Inputs'!B11</x:f>
        <x:v>1400</x:v>
      </x:c>
      <x:c r="E29" s="392" t="n">
        <x:f>E11*'Scenario Inputs'!B11</x:f>
        <x:v>800</x:v>
      </x:c>
    </x:row>
    <x:row r="30">
      <x:c r="A30" s="396" t="str">
        <x:v>Total monthly cost</x:v>
      </x:c>
      <x:c r="B30" s="397" t="n">
        <x:f>B19+B24+B28+B29</x:f>
        <x:v>20000</x:v>
      </x:c>
      <x:c r="C30" s="398" t="n">
        <x:f>C19+C24+C28+C29</x:f>
        <x:v>16128</x:v>
      </x:c>
      <x:c r="D30" s="398" t="n">
        <x:f>D19+D24+D28+D29</x:f>
        <x:v>12022</x:v>
      </x:c>
      <x:c r="E30" s="399" t="n">
        <x:f>E19+E24+E28+E29</x:f>
        <x:v>5931</x:v>
      </x:c>
    </x:row>
    <x:row r="31">
      <x:c r="A31" s="230" t="str">
        <x:v>Cost per task attempt</x:v>
      </x:c>
      <x:c r="B31" s="338" t="n">
        <x:f>B30/B5</x:f>
        <x:v>20</x:v>
      </x:c>
      <x:c r="C31" s="339" t="n">
        <x:f>C30/C5</x:f>
        <x:v>16.128</x:v>
      </x:c>
      <x:c r="D31" s="339" t="n">
        <x:f>D30/D5</x:f>
        <x:v>12.022</x:v>
      </x:c>
      <x:c r="E31" s="340" t="n">
        <x:f>E30/E5</x:f>
        <x:v>5.931</x:v>
      </x:c>
    </x:row>
    <x:row r="32">
      <x:c r="A32" s="396" t="str">
        <x:v>Cost per successful outcome</x:v>
      </x:c>
      <x:c r="B32" s="397" t="n">
        <x:f>B30/B8</x:f>
        <x:v>22.22222222222222</x:v>
      </x:c>
      <x:c r="C32" s="398" t="n">
        <x:f>C30/C8</x:f>
        <x:v>21.504</x:v>
      </x:c>
      <x:c r="D32" s="398" t="n">
        <x:f>D30/D8</x:f>
        <x:v>12.926881720430108</x:v>
      </x:c>
      <x:c r="E32" s="399" t="n">
        <x:f>E30/E8</x:f>
        <x:v>6.178125</x:v>
      </x:c>
    </x:row>
    <x:row r="33">
      <x:c r="A33" s="221" t="str">
        <x:v>Inference share of total cost</x:v>
      </x:c>
      <x:c r="B33" s="314" t="n">
        <x:f>0</x:f>
        <x:v>0</x:v>
      </x:c>
      <x:c r="C33" s="315" t="n">
        <x:f>C21/C30</x:f>
        <x:v>0.002976190476190476</x:v>
      </x:c>
      <x:c r="D33" s="315" t="n">
        <x:f>D21/D30</x:f>
        <x:v>0.02844784561636999</x:v>
      </x:c>
      <x:c r="E33" s="316" t="n">
        <x:f>E21/E30</x:f>
        <x:v>0.025290844714213456</x:v>
      </x:c>
    </x:row>
    <x:row r="34">
      <x:c r="A34" s="221" t="str">
        <x:v>Human labor share of total cost</x:v>
      </x:c>
      <x:c r="B34" s="314" t="n">
        <x:f>B19/B30</x:f>
        <x:v>0.9</x:v>
      </x:c>
      <x:c r="C34" s="315" t="n">
        <x:f>C19/C30</x:f>
        <x:v>0.5419146825396826</x:v>
      </x:c>
      <x:c r="D34" s="315" t="n">
        <x:f>D19/D30</x:f>
        <x:v>0.5972383962734986</x:v>
      </x:c>
      <x:c r="E34" s="316" t="n">
        <x:f>E19/E30</x:f>
        <x:v>0.39049064238745573</x:v>
      </x:c>
    </x:row>
    <x:row r="35">
      <x:c r="A35" s="230" t="str">
        <x:v>Failure-impact share of total cost</x:v>
      </x:c>
      <x:c r="B35" s="317" t="n">
        <x:f>B29/B30</x:f>
        <x:v>0.1</x:v>
      </x:c>
      <x:c r="C35" s="318" t="n">
        <x:f>C29/C30</x:f>
        <x:v>0.3100198412698413</x:v>
      </x:c>
      <x:c r="D35" s="318" t="n">
        <x:f>D29/D30</x:f>
        <x:v>0.11645316918981867</x:v>
      </x:c>
      <x:c r="E35" s="319" t="n">
        <x:f>E29/E30</x:f>
        <x:v>0.13488450514247177</x:v>
      </x:c>
    </x:row>
    <x:row r="36">
      <x:c r="A36" s="362" t="str">
        <x:v>Value created</x:v>
      </x:c>
      <x:c r="B36" s="390" t="n">
        <x:f>B8*'Scenario Inputs'!B8</x:f>
        <x:v>22500</x:v>
      </x:c>
      <x:c r="C36" s="391" t="n">
        <x:f>C8*'Scenario Inputs'!B8</x:f>
        <x:v>18750</x:v>
      </x:c>
      <x:c r="D36" s="391" t="n">
        <x:f>D8*'Scenario Inputs'!B8</x:f>
        <x:v>23250</x:v>
      </x:c>
      <x:c r="E36" s="392" t="n">
        <x:f>E8*'Scenario Inputs'!B8</x:f>
        <x:v>24000</x:v>
      </x:c>
    </x:row>
    <x:row r="37">
      <x:c r="A37" s="396" t="str">
        <x:v>Net monthly value</x:v>
      </x:c>
      <x:c r="B37" s="397" t="n">
        <x:f>B36-B30</x:f>
        <x:v>2500</x:v>
      </x:c>
      <x:c r="C37" s="398" t="n">
        <x:f>C36-C30</x:f>
        <x:v>2622</x:v>
      </x:c>
      <x:c r="D37" s="398" t="n">
        <x:f>D36-D30</x:f>
        <x:v>11228</x:v>
      </x:c>
      <x:c r="E37" s="399" t="n">
        <x:f>E36-E30</x:f>
        <x:v>18069</x:v>
      </x:c>
    </x:row>
    <x:row r="38">
      <x:c r="A38" s="396" t="str">
        <x:v>ROI</x:v>
      </x:c>
      <x:c r="B38" s="410" t="n">
        <x:f>B37/B30</x:f>
        <x:v>0.125</x:v>
      </x:c>
      <x:c r="C38" s="411" t="n">
        <x:f>C37/C30</x:f>
        <x:v>0.16257440476190477</x:v>
      </x:c>
      <x:c r="D38" s="411" t="n">
        <x:f>D37/D30</x:f>
        <x:v>0.9339544169023457</x:v>
      </x:c>
      <x:c r="E38" s="412" t="n">
        <x:f>E37/E30</x:f>
        <x:v>3.0465351542741526</x:v>
      </x:c>
    </x:row>
    <x:row r="39">
      <x:c r="A39" s="230" t="str">
        <x:v>Human hours per 100 tasks</x:v>
      </x:c>
      <x:c r="B39" s="326" t="n">
        <x:f>B18/B5*100</x:f>
        <x:v>30</x:v>
      </x:c>
      <x:c r="C39" s="327" t="n">
        <x:f>C18/C5*100</x:f>
        <x:v>14.566666666666666</x:v>
      </x:c>
      <x:c r="D39" s="327" t="n">
        <x:f>D18/D5*100</x:f>
        <x:v>11.966666666666667</x:v>
      </x:c>
      <x:c r="E39" s="328" t="n">
        <x:f>E18/E5*100</x:f>
        <x:v>3.8600000000000003</x:v>
      </x:c>
    </x:row>
    <x:row r="40">
      <x:c r="A40" s="221" t="str">
        <x:v>Human-touch rate</x:v>
      </x:c>
      <x:c r="B40" s="314" t="n">
        <x:f>1</x:f>
        <x:v>1</x:v>
      </x:c>
      <x:c r="C40" s="315" t="n">
        <x:f>(C10+C12+C11)/C5</x:f>
        <x:v>0.595</x:v>
      </x:c>
      <x:c r="D40" s="315" t="n">
        <x:f>(D10+D12+D11)/D5</x:f>
        <x:v>0.86</x:v>
      </x:c>
      <x:c r="E40" s="316" t="n">
        <x:f>(E10+E12+E11)/E5</x:f>
        <x:v>0.388</x:v>
      </x:c>
    </x:row>
    <x:row r="41">
      <x:c r="A41" s="362" t="str">
        <x:v>Break-even value per successful outcome</x:v>
      </x:c>
      <x:c r="B41" s="390" t="n">
        <x:f>B32</x:f>
        <x:v>22.22222222222222</x:v>
      </x:c>
      <x:c r="C41" s="391" t="n">
        <x:f>C32</x:f>
        <x:v>21.504</x:v>
      </x:c>
      <x:c r="D41" s="391" t="n">
        <x:f>D32</x:f>
        <x:v>12.926881720430108</x:v>
      </x:c>
      <x:c r="E41" s="392" t="n">
        <x:f>E32</x:f>
        <x:v>6.178125</x:v>
      </x:c>
    </x:row>
    <x:row r="42">
      <x:c r="A42" s="422" t="str">
        <x:v>Decision</x:v>
      </x:c>
      <x:c r="B42" s="430" t="str">
        <x:v>BASELINE</x:v>
      </x:c>
      <x:c r="C42" s="431" t="str">
        <x:f>IF(C38&lt;0,"RETIRE",IF(C38&lt;0.5,"OPTIMIZE","SCALE"))</x:f>
        <x:v>OPTIMIZE</x:v>
      </x:c>
      <x:c r="D42" s="431" t="str">
        <x:f>IF(D38&lt;0,"RETIRE",IF(D38&lt;0.5,"OPTIMIZE","SCALE"))</x:f>
        <x:v>SCALE</x:v>
      </x:c>
      <x:c r="E42" s="432" t="str">
        <x:f>IF(E38&lt;0,"RETIRE",IF(E38&lt;0.5,"OPTIMIZE","SCALE"))</x:f>
        <x:v>SCALE</x:v>
      </x:c>
    </x:row>
  </x:sheetData>
  <x:mergeCells>
    <x:mergeCell ref="A1:E2"/>
  </x:mergeCells>
  <x:conditionalFormatting sqref="C42:E42">
    <x:cfRule type="expression" dxfId="1" priority="1">
      <x:formula>C42="SCALE"</x:formula>
    </x:cfRule>
    <x:cfRule type="expression" dxfId="2" priority="2">
      <x:formula>C42="OPTIMIZE"</x:formula>
    </x:cfRule>
    <x:cfRule type="expression" dxfId="3" priority="3">
      <x:formula>C42="RETIRE"</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36" hidden="0" customWidth="1"/>
    <x:col min="2" max="2" width="18" hidden="0" customWidth="1"/>
    <x:col min="3" max="3" width="18" hidden="0" customWidth="1"/>
    <x:col min="4" max="4" width="18" hidden="0" customWidth="1"/>
    <x:col min="5" max="5" width="18" hidden="0" customWidth="1"/>
    <x:col min="6" max="6" width="3"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x:c r="A1" s="5" t="str">
        <x:v>AI Agent Unit Economics Dashboard</x:v>
      </x:c>
      <x:c r="B1" s="5"/>
      <x:c r="C1" s="5"/>
      <x:c r="D1" s="5"/>
      <x:c r="E1" s="5"/>
      <x:c r="F1" s="5"/>
      <x:c r="G1" s="5"/>
      <x:c r="H1" s="5"/>
      <x:c r="I1" s="5"/>
      <x:c r="J1" s="5"/>
      <x:c r="K1" s="5"/>
      <x:c r="L1" s="5"/>
      <x:c r="M1" s="5"/>
      <x:c r="N1" s="5"/>
    </x:row>
    <x:row r="2">
      <x:c r="A2" s="5"/>
      <x:c r="B2" s="5"/>
      <x:c r="C2" s="5"/>
      <x:c r="D2" s="5"/>
      <x:c r="E2" s="5"/>
      <x:c r="F2" s="5"/>
      <x:c r="G2" s="5"/>
      <x:c r="H2" s="5"/>
      <x:c r="I2" s="5"/>
      <x:c r="J2" s="5"/>
      <x:c r="K2" s="5"/>
      <x:c r="L2" s="5"/>
      <x:c r="M2" s="5"/>
      <x:c r="N2" s="5"/>
    </x:row>
    <x:row r="3">
      <x:c r="A3" s="438" t="str">
        <x:v>Optimize the total cost of a correctly completed business task — not just the token bill.</x:v>
      </x:c>
      <x:c r="B3" s="438"/>
      <x:c r="C3" s="438"/>
      <x:c r="D3" s="438"/>
      <x:c r="E3" s="438"/>
      <x:c r="F3" s="438"/>
      <x:c r="G3" s="438"/>
      <x:c r="H3" s="438"/>
      <x:c r="I3" s="438"/>
      <x:c r="J3" s="438"/>
      <x:c r="K3" s="438"/>
      <x:c r="L3" s="438"/>
      <x:c r="M3" s="438"/>
      <x:c r="N3" s="438"/>
    </x:row>
    <x:row r="5">
      <x:c r="A5" s="20" t="str">
        <x:v>Metric</x:v>
      </x:c>
      <x:c r="B5" s="20" t="str">
        <x:v>Manual Baseline</x:v>
      </x:c>
      <x:c r="C5" s="20" t="str">
        <x:v>Token Saver</x:v>
      </x:c>
      <x:c r="D5" s="20" t="str">
        <x:v>High Accuracy</x:v>
      </x:c>
      <x:c r="E5" s="20" t="str">
        <x:v>Outcome Optimized</x:v>
      </x:c>
    </x:row>
    <x:row r="6">
      <x:c r="A6" s="217" t="str">
        <x:v>Monthly tasks</x:v>
      </x:c>
      <x:c r="B6" s="296" t="n">
        <x:f>Calculations!B5</x:f>
        <x:v>1000</x:v>
      </x:c>
      <x:c r="C6" s="297" t="n">
        <x:f>Calculations!C5</x:f>
        <x:v>1000</x:v>
      </x:c>
      <x:c r="D6" s="297" t="n">
        <x:f>Calculations!D5</x:f>
        <x:v>1000</x:v>
      </x:c>
      <x:c r="E6" s="298" t="n">
        <x:f>Calculations!E5</x:f>
        <x:v>1000</x:v>
      </x:c>
    </x:row>
    <x:row r="7">
      <x:c r="A7" s="218" t="str">
        <x:v>Successful outcomes</x:v>
      </x:c>
      <x:c r="B7" s="472" t="n">
        <x:f>Calculations!B8</x:f>
        <x:v>900</x:v>
      </x:c>
      <x:c r="C7" s="473" t="n">
        <x:f>Calculations!C8</x:f>
        <x:v>750</x:v>
      </x:c>
      <x:c r="D7" s="473" t="n">
        <x:f>Calculations!D8</x:f>
        <x:v>930</x:v>
      </x:c>
      <x:c r="E7" s="474" t="n">
        <x:f>Calculations!E8</x:f>
        <x:v>960</x:v>
      </x:c>
    </x:row>
    <x:row r="8">
      <x:c r="A8" s="218" t="str">
        <x:v>End-to-end success rate</x:v>
      </x:c>
      <x:c r="B8" s="308" t="n">
        <x:f>Calculations!B6</x:f>
        <x:v>0.9</x:v>
      </x:c>
      <x:c r="C8" s="309" t="n">
        <x:f>Calculations!C6</x:f>
        <x:v>0.75</x:v>
      </x:c>
      <x:c r="D8" s="309" t="n">
        <x:f>Calculations!D6</x:f>
        <x:v>0.93</x:v>
      </x:c>
      <x:c r="E8" s="310" t="n">
        <x:f>Calculations!E6</x:f>
        <x:v>0.96</x:v>
      </x:c>
    </x:row>
    <x:row r="9">
      <x:c r="A9" s="218" t="str">
        <x:v>Autonomous success rate</x:v>
      </x:c>
      <x:c r="B9" s="308" t="n">
        <x:f>Calculations!B7</x:f>
        <x:v>0</x:v>
      </x:c>
      <x:c r="C9" s="309" t="n">
        <x:f>Calculations!C7</x:f>
        <x:v>0.45</x:v>
      </x:c>
      <x:c r="D9" s="309" t="n">
        <x:f>Calculations!D7</x:f>
        <x:v>0.35</x:v>
      </x:c>
      <x:c r="E9" s="310" t="n">
        <x:f>Calculations!E7</x:f>
        <x:v>0.72</x:v>
      </x:c>
    </x:row>
    <x:row r="10">
      <x:c r="A10" s="218" t="str">
        <x:v>Total monthly cost</x:v>
      </x:c>
      <x:c r="B10" s="341" t="n">
        <x:f>Calculations!B30</x:f>
        <x:v>20000</x:v>
      </x:c>
      <x:c r="C10" s="342" t="n">
        <x:f>Calculations!C30</x:f>
        <x:v>16128</x:v>
      </x:c>
      <x:c r="D10" s="342" t="n">
        <x:f>Calculations!D30</x:f>
        <x:v>12022</x:v>
      </x:c>
      <x:c r="E10" s="343" t="n">
        <x:f>Calculations!E30</x:f>
        <x:v>5931</x:v>
      </x:c>
    </x:row>
    <x:row r="11">
      <x:c r="A11" s="218" t="str">
        <x:v>Cost per task attempt</x:v>
      </x:c>
      <x:c r="B11" s="341" t="n">
        <x:f>Calculations!B31</x:f>
        <x:v>20</x:v>
      </x:c>
      <x:c r="C11" s="342" t="n">
        <x:f>Calculations!C31</x:f>
        <x:v>16.128</x:v>
      </x:c>
      <x:c r="D11" s="342" t="n">
        <x:f>Calculations!D31</x:f>
        <x:v>12.022</x:v>
      </x:c>
      <x:c r="E11" s="343" t="n">
        <x:f>Calculations!E31</x:f>
        <x:v>5.931</x:v>
      </x:c>
    </x:row>
    <x:row r="12">
      <x:c r="A12" s="489" t="str">
        <x:v>Cost per successful outcome</x:v>
      </x:c>
      <x:c r="B12" s="502" t="n">
        <x:f>Calculations!B32</x:f>
        <x:v>22.22222222222222</x:v>
      </x:c>
      <x:c r="C12" s="503" t="n">
        <x:f>Calculations!C32</x:f>
        <x:v>21.504</x:v>
      </x:c>
      <x:c r="D12" s="503" t="n">
        <x:f>Calculations!D32</x:f>
        <x:v>12.926881720430108</x:v>
      </x:c>
      <x:c r="E12" s="504" t="n">
        <x:f>Calculations!E32</x:f>
        <x:v>6.178125</x:v>
      </x:c>
    </x:row>
    <x:row r="13">
      <x:c r="A13" s="218" t="str">
        <x:v>Inference share of total cost</x:v>
      </x:c>
      <x:c r="B13" s="308" t="n">
        <x:f>Calculations!B33</x:f>
        <x:v>0</x:v>
      </x:c>
      <x:c r="C13" s="309" t="n">
        <x:f>Calculations!C33</x:f>
        <x:v>0.002976190476190476</x:v>
      </x:c>
      <x:c r="D13" s="309" t="n">
        <x:f>Calculations!D33</x:f>
        <x:v>0.02844784561636999</x:v>
      </x:c>
      <x:c r="E13" s="310" t="n">
        <x:f>Calculations!E33</x:f>
        <x:v>0.025290844714213456</x:v>
      </x:c>
    </x:row>
    <x:row r="14">
      <x:c r="A14" s="218" t="str">
        <x:v>Human labor share of total cost</x:v>
      </x:c>
      <x:c r="B14" s="308" t="n">
        <x:f>Calculations!B34</x:f>
        <x:v>0.9</x:v>
      </x:c>
      <x:c r="C14" s="309" t="n">
        <x:f>Calculations!C34</x:f>
        <x:v>0.5419146825396826</x:v>
      </x:c>
      <x:c r="D14" s="309" t="n">
        <x:f>Calculations!D34</x:f>
        <x:v>0.5972383962734986</x:v>
      </x:c>
      <x:c r="E14" s="310" t="n">
        <x:f>Calculations!E34</x:f>
        <x:v>0.39049064238745573</x:v>
      </x:c>
    </x:row>
    <x:row r="15">
      <x:c r="A15" s="218" t="str">
        <x:v>Failure-impact share of total cost</x:v>
      </x:c>
      <x:c r="B15" s="308" t="n">
        <x:f>Calculations!B35</x:f>
        <x:v>0.1</x:v>
      </x:c>
      <x:c r="C15" s="309" t="n">
        <x:f>Calculations!C35</x:f>
        <x:v>0.3100198412698413</x:v>
      </x:c>
      <x:c r="D15" s="309" t="n">
        <x:f>Calculations!D35</x:f>
        <x:v>0.11645316918981867</x:v>
      </x:c>
      <x:c r="E15" s="310" t="n">
        <x:f>Calculations!E35</x:f>
        <x:v>0.13488450514247177</x:v>
      </x:c>
    </x:row>
    <x:row r="16">
      <x:c r="A16" s="218" t="str">
        <x:v>Total human hours</x:v>
      </x:c>
      <x:c r="B16" s="472" t="n">
        <x:f>Calculations!B18</x:f>
        <x:v>300</x:v>
      </x:c>
      <x:c r="C16" s="473" t="n">
        <x:f>Calculations!C18</x:f>
        <x:v>145.66666666666666</x:v>
      </x:c>
      <x:c r="D16" s="473" t="n">
        <x:f>Calculations!D18</x:f>
        <x:v>119.66666666666667</x:v>
      </x:c>
      <x:c r="E16" s="474" t="n">
        <x:f>Calculations!E18</x:f>
        <x:v>38.6</x:v>
      </x:c>
    </x:row>
    <x:row r="17">
      <x:c r="A17" s="522" t="str">
        <x:v>Net monthly value</x:v>
      </x:c>
      <x:c r="B17" s="530" t="n">
        <x:f>Calculations!B37</x:f>
        <x:v>2500</x:v>
      </x:c>
      <x:c r="C17" s="531" t="n">
        <x:f>Calculations!C37</x:f>
        <x:v>2622</x:v>
      </x:c>
      <x:c r="D17" s="531" t="n">
        <x:f>Calculations!D37</x:f>
        <x:v>11228</x:v>
      </x:c>
      <x:c r="E17" s="532" t="n">
        <x:f>Calculations!E37</x:f>
        <x:v>18069</x:v>
      </x:c>
    </x:row>
    <x:row r="18">
      <x:c r="A18" s="522" t="str">
        <x:v>ROI</x:v>
      </x:c>
      <x:c r="B18" s="533" t="n">
        <x:f>Calculations!B38</x:f>
        <x:v>0.125</x:v>
      </x:c>
      <x:c r="C18" s="534" t="n">
        <x:f>Calculations!C38</x:f>
        <x:v>0.16257440476190477</x:v>
      </x:c>
      <x:c r="D18" s="534" t="n">
        <x:f>Calculations!D38</x:f>
        <x:v>0.9339544169023457</x:v>
      </x:c>
      <x:c r="E18" s="535" t="n">
        <x:f>Calculations!E38</x:f>
        <x:v>3.0465351542741526</x:v>
      </x:c>
    </x:row>
    <x:row r="19">
      <x:c r="A19" s="218" t="str">
        <x:v>Break-even value per outcome</x:v>
      </x:c>
      <x:c r="B19" s="341" t="n">
        <x:f>Calculations!B41</x:f>
        <x:v>22.22222222222222</x:v>
      </x:c>
      <x:c r="C19" s="342" t="n">
        <x:f>Calculations!C41</x:f>
        <x:v>21.504</x:v>
      </x:c>
      <x:c r="D19" s="342" t="n">
        <x:f>Calculations!D41</x:f>
        <x:v>12.926881720430108</x:v>
      </x:c>
      <x:c r="E19" s="343" t="n">
        <x:f>Calculations!E41</x:f>
        <x:v>6.178125</x:v>
      </x:c>
    </x:row>
    <x:row r="20">
      <x:c r="A20" s="550" t="str">
        <x:v>Decision</x:v>
      </x:c>
      <x:c r="B20" s="564" t="str">
        <x:f>Calculations!B42</x:f>
        <x:v>BASELINE</x:v>
      </x:c>
      <x:c r="C20" s="565" t="str">
        <x:f>Calculations!C42</x:f>
        <x:v>OPTIMIZE</x:v>
      </x:c>
      <x:c r="D20" s="565" t="str">
        <x:f>Calculations!D42</x:f>
        <x:v>SCALE</x:v>
      </x:c>
      <x:c r="E20" s="566" t="str">
        <x:f>Calculations!E42</x:f>
        <x:v>SCALE</x:v>
      </x:c>
    </x:row>
    <x:row r="35">
      <x:c r="H35" s="599" t="str">
        <x:v>Cost Component</x:v>
      </x:c>
      <x:c r="I35" s="600" t="str">
        <x:v>Token Saver</x:v>
      </x:c>
      <x:c r="J35" s="600" t="str">
        <x:v>High Accuracy</x:v>
      </x:c>
      <x:c r="K35" s="601" t="str">
        <x:v>Outcome Optimized</x:v>
      </x:c>
    </x:row>
    <x:row r="36">
      <x:c r="H36" s="573" t="str">
        <x:v>Human labor</x:v>
      </x:c>
      <x:c r="I36" s="446" t="n">
        <x:f>Calculations!C19</x:f>
        <x:v>8740</x:v>
      </x:c>
      <x:c r="J36" s="446" t="n">
        <x:f>Calculations!D19</x:f>
        <x:v>7180</x:v>
      </x:c>
      <x:c r="K36" s="456" t="n">
        <x:f>Calculations!E19</x:f>
        <x:v>2316</x:v>
      </x:c>
    </x:row>
    <x:row r="37">
      <x:c r="H37" s="573" t="str">
        <x:v>Variable technology</x:v>
      </x:c>
      <x:c r="I37" s="446" t="n">
        <x:f>Calculations!C24</x:f>
        <x:v>88</x:v>
      </x:c>
      <x:c r="J37" s="446" t="n">
        <x:f>Calculations!D24</x:f>
        <x:v>442</x:v>
      </x:c>
      <x:c r="K37" s="456" t="n">
        <x:f>Calculations!E24</x:f>
        <x:v>215</x:v>
      </x:c>
    </x:row>
    <x:row r="38">
      <x:c r="H38" s="573" t="str">
        <x:v>Fixed technology</x:v>
      </x:c>
      <x:c r="I38" s="446" t="n">
        <x:f>Calculations!C28</x:f>
        <x:v>2300</x:v>
      </x:c>
      <x:c r="J38" s="446" t="n">
        <x:f>Calculations!D28</x:f>
        <x:v>3000</x:v>
      </x:c>
      <x:c r="K38" s="456" t="n">
        <x:f>Calculations!E28</x:f>
        <x:v>2600</x:v>
      </x:c>
    </x:row>
    <x:row r="39">
      <x:c r="H39" s="576" t="str">
        <x:v>Failure impact</x:v>
      </x:c>
      <x:c r="I39" s="625" t="n">
        <x:f>Calculations!C29</x:f>
        <x:v>5000</x:v>
      </x:c>
      <x:c r="J39" s="625" t="n">
        <x:f>Calculations!D29</x:f>
        <x:v>1400</x:v>
      </x:c>
      <x:c r="K39" s="626" t="n">
        <x:f>Calculations!E29</x:f>
        <x:v>800</x:v>
      </x:c>
    </x:row>
    <x:row r="42">
      <x:c r="H42" s="599" t="str">
        <x:v>Metric</x:v>
      </x:c>
      <x:c r="I42" s="600" t="str">
        <x:v>Manual Baseline</x:v>
      </x:c>
      <x:c r="J42" s="600" t="str">
        <x:v>Token Saver</x:v>
      </x:c>
      <x:c r="K42" s="600" t="str">
        <x:v>High Accuracy</x:v>
      </x:c>
      <x:c r="L42" s="601" t="str">
        <x:v>Outcome Optimized</x:v>
      </x:c>
    </x:row>
    <x:row r="43">
      <x:c r="H43" s="576" t="str">
        <x:v>Cost per successful outcome</x:v>
      </x:c>
      <x:c r="I43" s="625" t="n">
        <x:f>Calculations!B32</x:f>
        <x:v>22.22222222222222</x:v>
      </x:c>
      <x:c r="J43" s="625" t="n">
        <x:f>Calculations!C32</x:f>
        <x:v>21.504</x:v>
      </x:c>
      <x:c r="K43" s="625" t="n">
        <x:f>Calculations!D32</x:f>
        <x:v>12.926881720430108</x:v>
      </x:c>
      <x:c r="L43" s="626" t="n">
        <x:f>Calculations!E32</x:f>
        <x:v>6.178125</x:v>
      </x:c>
    </x:row>
  </x:sheetData>
  <x:mergeCells>
    <x:mergeCell ref="A1:N2"/>
    <x:mergeCell ref="A3:N3"/>
  </x:mergeCells>
  <x:conditionalFormatting sqref="B20:E20">
    <x:cfRule type="expression" dxfId="4" priority="1">
      <x:formula>B20="SCALE"</x:formula>
    </x:cfRule>
    <x:cfRule type="expression" dxfId="5" priority="2">
      <x:formula>B20="OPTIMIZE"</x:formula>
    </x:cfRule>
    <x:cfRule type="expression" dxfId="6" priority="3">
      <x:formula>B20="RETIRE"</x:formula>
    </x:cfRule>
  </x:conditionalFormatting>
  <x:conditionalFormatting sqref="B18:E18">
    <x:cfRule type="colorScale" priority="4">
      <x:colorScale>
        <x:cfvo type="min"/>
        <x:cfvo type="percentile" val="50"/>
        <x:cfvo type="max"/>
        <x:color rgb="FFFDECEC"/>
        <x:color rgb="FFFFF7CC"/>
        <x:color rgb="FFE8F5E9"/>
      </x:colorScale>
    </x:cfRule>
  </x:conditionalFormatting>
  <x:pageMargins left="0.7" right="0.7" top="0.75" bottom="0.75" header="0.3" footer="0.3"/>
  <x:drawing xmlns:r="http://schemas.openxmlformats.org/officeDocument/2006/relationships" r:id="R81852366f51a4c6b"/>
</x:worksheet>
</file>

<file path=xl/worksheets/sheet4.xml><?xml version="1.0" encoding="utf-8"?>
<x:worksheet xmlns:x="http://schemas.openxmlformats.org/spreadsheetml/2006/main">
  <x:sheetFormatPr defaultRowHeight="15"/>
  <x:cols>
    <x:col min="1" max="1" width="19" hidden="0" customWidth="1"/>
    <x:col min="2" max="2" width="16" hidden="0" customWidth="1"/>
    <x:col min="3" max="3" width="16" hidden="0" customWidth="1"/>
    <x:col min="4" max="4" width="16" hidden="0" customWidth="1"/>
    <x:col min="5" max="5" width="19" hidden="0" customWidth="1"/>
    <x:col min="6" max="6" width="16" hidden="0" customWidth="1"/>
    <x:col min="7" max="7" width="16" hidden="0" customWidth="1"/>
    <x:col min="8" max="8" width="16" hidden="0" customWidth="1"/>
    <x:col min="9" max="9" width="19" hidden="0" customWidth="1"/>
    <x:col min="10" max="10" width="16" hidden="0" customWidth="1"/>
    <x:col min="11" max="11" width="16" hidden="0" customWidth="1"/>
  </x:cols>
  <x:sheetData>
    <x:row r="1">
      <x:c r="A1" s="5" t="str">
        <x:v>Sensitivity Analysis — Outcome Optimized Scenario</x:v>
      </x:c>
      <x:c r="B1" s="5"/>
      <x:c r="C1" s="5"/>
      <x:c r="D1" s="5"/>
      <x:c r="E1" s="5"/>
      <x:c r="F1" s="5"/>
      <x:c r="G1" s="5"/>
      <x:c r="H1" s="5"/>
      <x:c r="I1" s="5"/>
      <x:c r="J1" s="5"/>
      <x:c r="K1" s="5"/>
    </x:row>
    <x:row r="2">
      <x:c r="A2" s="5"/>
      <x:c r="B2" s="5"/>
      <x:c r="C2" s="5"/>
      <x:c r="D2" s="5"/>
      <x:c r="E2" s="5"/>
      <x:c r="F2" s="5"/>
      <x:c r="G2" s="5"/>
      <x:c r="H2" s="5"/>
      <x:c r="I2" s="5"/>
      <x:c r="J2" s="5"/>
      <x:c r="K2" s="5"/>
    </x:row>
    <x:row r="3">
      <x:c r="A3" s="174" t="str">
        <x:v>Each table changes one lever while holding the remaining Outcome Optimized assumptions constant.</x:v>
      </x:c>
      <x:c r="B3" s="174"/>
      <x:c r="C3" s="174"/>
      <x:c r="D3" s="174"/>
      <x:c r="E3" s="174"/>
      <x:c r="F3" s="174"/>
      <x:c r="G3" s="174"/>
      <x:c r="H3" s="174"/>
      <x:c r="I3" s="174"/>
      <x:c r="J3" s="174"/>
      <x:c r="K3" s="174"/>
    </x:row>
    <x:row r="5">
      <x:c r="A5" s="599" t="str">
        <x:v>End-to-end success rate</x:v>
      </x:c>
      <x:c r="B5" s="600" t="str">
        <x:v>Total monthly cost</x:v>
      </x:c>
      <x:c r="C5" s="601" t="str">
        <x:v>Cost per successful outcome</x:v>
      </x:c>
      <x:c r="E5" s="599" t="str">
        <x:v>Autonomous success rate</x:v>
      </x:c>
      <x:c r="F5" s="600" t="str">
        <x:v>Total monthly cost</x:v>
      </x:c>
      <x:c r="G5" s="601" t="str">
        <x:v>Cost per successful outcome</x:v>
      </x:c>
      <x:c r="I5" s="599" t="str">
        <x:v>Inference cost per run</x:v>
      </x:c>
      <x:c r="J5" s="600" t="str">
        <x:v>Total monthly cost</x:v>
      </x:c>
      <x:c r="K5" s="601" t="str">
        <x:v>Cost per successful outcome</x:v>
      </x:c>
    </x:row>
    <x:row r="6">
      <x:c r="A6" s="657" t="n">
        <x:v>0.8</x:v>
      </x:c>
      <x:c r="B6" s="333" t="n">
        <x:f>((('Scenario Inputs'!$B$5*$A6-'Scenario Inputs'!$B$5*MIN('Scenario Inputs'!$E$16,$A6))*'Scenario Inputs'!$E$17/60+('Scenario Inputs'!$B$5*MIN('Scenario Inputs'!$E$16,$A6))*'Scenario Inputs'!$E$18*'Scenario Inputs'!$E$19/60+('Scenario Inputs'!$B$5*'Scenario Inputs'!$E$20)*'Scenario Inputs'!$E$21/60+('Scenario Inputs'!$B$5-'Scenario Inputs'!$B$5*$A6)*'Scenario Inputs'!$E$22/60)*'Scenario Inputs'!$B$7+'Scenario Inputs'!$B$5*'Scenario Inputs'!$E$23*'Scenario Inputs'!$E$24+'Scenario Inputs'!$B$5*'Scenario Inputs'!$E$25+'Scenario Inputs'!$B$5*'Scenario Inputs'!$E$26+SUM('Scenario Inputs'!$E$27:$E$29)+('Scenario Inputs'!$B$5-'Scenario Inputs'!$B$5*$A6)*'Scenario Inputs'!$B$11)</x:f>
        <x:v>10251</x:v>
      </x:c>
      <x:c r="C6" s="334" t="n">
        <x:f>B6/('Scenario Inputs'!$B$5*$A6)</x:f>
        <x:v>12.81375</x:v>
      </x:c>
      <x:c r="D6" s="642"/>
      <x:c r="E6" s="657" t="n">
        <x:v>0.3</x:v>
      </x:c>
      <x:c r="F6" s="333" t="n">
        <x:f>((('Scenario Inputs'!$B$5*'Scenario Inputs'!$E$15-'Scenario Inputs'!$B$5*MIN($E6,'Scenario Inputs'!$E$15))*'Scenario Inputs'!$E$17/60+('Scenario Inputs'!$B$5*MIN($E6,'Scenario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7905</x:v>
      </x:c>
      <x:c r="G6" s="334" t="n">
        <x:f>F6/('Scenario Inputs'!$B$5*'Scenario Inputs'!$E$15)</x:f>
        <x:v>8.234375</x:v>
      </x:c>
      <x:c r="H6" s="642"/>
      <x:c r="I6" s="661" t="n">
        <x:v>0.02</x:v>
      </x:c>
      <x:c r="J6" s="333" t="n">
        <x:f>Calculations!E19+'Scenario Inputs'!$B$5*'Scenario Inputs'!$E$23*$I6+Calculations!E22+Calculations!E23+Calculations!E28+Calculations!E29</x:f>
        <x:v>5811</x:v>
      </x:c>
      <x:c r="K6" s="334" t="n">
        <x:f>J6/Calculations!E8</x:f>
        <x:v>6.053125</x:v>
      </x:c>
    </x:row>
    <x:row r="7">
      <x:c r="A7" s="657" t="n">
        <x:v>0.85</x:v>
      </x:c>
      <x:c r="B7" s="333" t="n">
        <x:f>((('Scenario Inputs'!$B$5*$A7-'Scenario Inputs'!$B$5*MIN('Scenario Inputs'!$E$16,$A7))*'Scenario Inputs'!$E$17/60+('Scenario Inputs'!$B$5*MIN('Scenario Inputs'!$E$16,$A7))*'Scenario Inputs'!$E$18*'Scenario Inputs'!$E$19/60+('Scenario Inputs'!$B$5*'Scenario Inputs'!$E$20)*'Scenario Inputs'!$E$21/60+('Scenario Inputs'!$B$5-'Scenario Inputs'!$B$5*$A7)*'Scenario Inputs'!$E$22/60)*'Scenario Inputs'!$B$7+'Scenario Inputs'!$B$5*'Scenario Inputs'!$E$23*'Scenario Inputs'!$E$24+'Scenario Inputs'!$B$5*'Scenario Inputs'!$E$25+'Scenario Inputs'!$B$5*'Scenario Inputs'!$E$26+SUM('Scenario Inputs'!$E$27:$E$29)+('Scenario Inputs'!$B$5-'Scenario Inputs'!$B$5*$A7)*'Scenario Inputs'!$B$11)</x:f>
        <x:v>8901</x:v>
      </x:c>
      <x:c r="C7" s="334" t="n">
        <x:f>B7/('Scenario Inputs'!$B$5*$A7)</x:f>
        <x:v>10.471764705882354</x:v>
      </x:c>
      <x:c r="D7" s="642"/>
      <x:c r="E7" s="657" t="n">
        <x:v>0.4</x:v>
      </x:c>
      <x:c r="F7" s="333" t="n">
        <x:f>((('Scenario Inputs'!$B$5*'Scenario Inputs'!$E$15-'Scenario Inputs'!$B$5*MIN($E7,'Scenario Inputs'!$E$15))*'Scenario Inputs'!$E$17/60+('Scenario Inputs'!$B$5*MIN($E7,'Scenario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7435</x:v>
      </x:c>
      <x:c r="G7" s="334" t="n">
        <x:f>F7/('Scenario Inputs'!$B$5*'Scenario Inputs'!$E$15)</x:f>
        <x:v>7.744791666666667</x:v>
      </x:c>
      <x:c r="H7" s="642"/>
      <x:c r="I7" s="661" t="n">
        <x:v>0.05</x:v>
      </x:c>
      <x:c r="J7" s="333" t="n">
        <x:f>Calculations!E19+'Scenario Inputs'!$B$5*'Scenario Inputs'!$E$23*$I7+Calculations!E22+Calculations!E23+Calculations!E28+Calculations!E29</x:f>
        <x:v>5856</x:v>
      </x:c>
      <x:c r="K7" s="334" t="n">
        <x:f>J7/Calculations!E8</x:f>
        <x:v>6.1</x:v>
      </x:c>
    </x:row>
    <x:row r="8">
      <x:c r="A8" s="657" t="n">
        <x:v>0.9</x:v>
      </x:c>
      <x:c r="B8" s="333" t="n">
        <x:f>((('Scenario Inputs'!$B$5*$A8-'Scenario Inputs'!$B$5*MIN('Scenario Inputs'!$E$16,$A8))*'Scenario Inputs'!$E$17/60+('Scenario Inputs'!$B$5*MIN('Scenario Inputs'!$E$16,$A8))*'Scenario Inputs'!$E$18*'Scenario Inputs'!$E$19/60+('Scenario Inputs'!$B$5*'Scenario Inputs'!$E$20)*'Scenario Inputs'!$E$21/60+('Scenario Inputs'!$B$5-'Scenario Inputs'!$B$5*$A8)*'Scenario Inputs'!$E$22/60)*'Scenario Inputs'!$B$7+'Scenario Inputs'!$B$5*'Scenario Inputs'!$E$23*'Scenario Inputs'!$E$24+'Scenario Inputs'!$B$5*'Scenario Inputs'!$E$25+'Scenario Inputs'!$B$5*'Scenario Inputs'!$E$26+SUM('Scenario Inputs'!$E$27:$E$29)+('Scenario Inputs'!$B$5-'Scenario Inputs'!$B$5*$A8)*'Scenario Inputs'!$B$11)</x:f>
        <x:v>7551</x:v>
      </x:c>
      <x:c r="C8" s="334" t="n">
        <x:f>B8/('Scenario Inputs'!$B$5*$A8)</x:f>
        <x:v>8.39</x:v>
      </x:c>
      <x:c r="D8" s="642"/>
      <x:c r="E8" s="657" t="n">
        <x:v>0.5</x:v>
      </x:c>
      <x:c r="F8" s="333" t="n">
        <x:f>((('Scenario Inputs'!$B$5*'Scenario Inputs'!$E$15-'Scenario Inputs'!$B$5*MIN($E8,'Scenario Inputs'!$E$15))*'Scenario Inputs'!$E$17/60+('Scenario Inputs'!$B$5*MIN($E8,'Scenario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6965</x:v>
      </x:c>
      <x:c r="G8" s="334" t="n">
        <x:f>F8/('Scenario Inputs'!$B$5*'Scenario Inputs'!$E$15)</x:f>
        <x:v>7.255208333333333</x:v>
      </x:c>
      <x:c r="H8" s="642"/>
      <x:c r="I8" s="675" t="n">
        <x:v>0.1</x:v>
      </x:c>
      <x:c r="J8" s="670" t="n">
        <x:f>Calculations!E19+'Scenario Inputs'!$B$5*'Scenario Inputs'!$E$23*$I8+Calculations!E22+Calculations!E23+Calculations!E28+Calculations!E29</x:f>
        <x:v>5931</x:v>
      </x:c>
      <x:c r="K8" s="671" t="n">
        <x:f>J8/Calculations!E8</x:f>
        <x:v>6.178125</x:v>
      </x:c>
    </x:row>
    <x:row r="9">
      <x:c r="A9" s="657" t="n">
        <x:v>0.92</x:v>
      </x:c>
      <x:c r="B9" s="333" t="n">
        <x:f>((('Scenario Inputs'!$B$5*$A9-'Scenario Inputs'!$B$5*MIN('Scenario Inputs'!$E$16,$A9))*'Scenario Inputs'!$E$17/60+('Scenario Inputs'!$B$5*MIN('Scenario Inputs'!$E$16,$A9))*'Scenario Inputs'!$E$18*'Scenario Inputs'!$E$19/60+('Scenario Inputs'!$B$5*'Scenario Inputs'!$E$20)*'Scenario Inputs'!$E$21/60+('Scenario Inputs'!$B$5-'Scenario Inputs'!$B$5*$A9)*'Scenario Inputs'!$E$22/60)*'Scenario Inputs'!$B$7+'Scenario Inputs'!$B$5*'Scenario Inputs'!$E$23*'Scenario Inputs'!$E$24+'Scenario Inputs'!$B$5*'Scenario Inputs'!$E$25+'Scenario Inputs'!$B$5*'Scenario Inputs'!$E$26+SUM('Scenario Inputs'!$E$27:$E$29)+('Scenario Inputs'!$B$5-'Scenario Inputs'!$B$5*$A9)*'Scenario Inputs'!$B$11)</x:f>
        <x:v>7011</x:v>
      </x:c>
      <x:c r="C9" s="334" t="n">
        <x:f>B9/('Scenario Inputs'!$B$5*$A9)</x:f>
        <x:v>7.620652173913044</x:v>
      </x:c>
      <x:c r="D9" s="642"/>
      <x:c r="E9" s="657" t="n">
        <x:v>0.6</x:v>
      </x:c>
      <x:c r="F9" s="333" t="n">
        <x:f>((('Scenario Inputs'!$B$5*'Scenario Inputs'!$E$15-'Scenario Inputs'!$B$5*MIN($E9,'Scenario Inputs'!$E$15))*'Scenario Inputs'!$E$17/60+('Scenario Inputs'!$B$5*MIN($E9,'Scenario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6495</x:v>
      </x:c>
      <x:c r="G9" s="334" t="n">
        <x:f>F9/('Scenario Inputs'!$B$5*'Scenario Inputs'!$E$15)</x:f>
        <x:v>6.765625</x:v>
      </x:c>
      <x:c r="H9" s="642"/>
      <x:c r="I9" s="661" t="n">
        <x:v>0.2</x:v>
      </x:c>
      <x:c r="J9" s="333" t="n">
        <x:f>Calculations!E19+'Scenario Inputs'!$B$5*'Scenario Inputs'!$E$23*$I9+Calculations!E22+Calculations!E23+Calculations!E28+Calculations!E29</x:f>
        <x:v>6081</x:v>
      </x:c>
      <x:c r="K9" s="334" t="n">
        <x:f>J9/Calculations!E8</x:f>
        <x:v>6.334375</x:v>
      </x:c>
    </x:row>
    <x:row r="10">
      <x:c r="A10" s="657" t="n">
        <x:v>0.94</x:v>
      </x:c>
      <x:c r="B10" s="333" t="n">
        <x:f>((('Scenario Inputs'!$B$5*$A10-'Scenario Inputs'!$B$5*MIN('Scenario Inputs'!$E$16,$A10))*'Scenario Inputs'!$E$17/60+('Scenario Inputs'!$B$5*MIN('Scenario Inputs'!$E$16,$A10))*'Scenario Inputs'!$E$18*'Scenario Inputs'!$E$19/60+('Scenario Inputs'!$B$5*'Scenario Inputs'!$E$20)*'Scenario Inputs'!$E$21/60+('Scenario Inputs'!$B$5-'Scenario Inputs'!$B$5*$A10)*'Scenario Inputs'!$E$22/60)*'Scenario Inputs'!$B$7+'Scenario Inputs'!$B$5*'Scenario Inputs'!$E$23*'Scenario Inputs'!$E$24+'Scenario Inputs'!$B$5*'Scenario Inputs'!$E$25+'Scenario Inputs'!$B$5*'Scenario Inputs'!$E$26+SUM('Scenario Inputs'!$E$27:$E$29)+('Scenario Inputs'!$B$5-'Scenario Inputs'!$B$5*$A10)*'Scenario Inputs'!$B$11)</x:f>
        <x:v>6471</x:v>
      </x:c>
      <x:c r="C10" s="334" t="n">
        <x:f>B10/('Scenario Inputs'!$B$5*$A10)</x:f>
        <x:v>6.884042553191489</x:v>
      </x:c>
      <x:c r="D10" s="642"/>
      <x:c r="E10" s="657" t="n">
        <x:v>0.7</x:v>
      </x:c>
      <x:c r="F10" s="333" t="n">
        <x:f>((('Scenario Inputs'!$B$5*'Scenario Inputs'!$E$15-'Scenario Inputs'!$B$5*MIN($E10,'Scenario Inputs'!$E$15))*'Scenario Inputs'!$E$17/60+('Scenario Inputs'!$B$5*MIN($E10,'Scenario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6025</x:v>
      </x:c>
      <x:c r="G10" s="334" t="n">
        <x:f>F10/('Scenario Inputs'!$B$5*'Scenario Inputs'!$E$15)</x:f>
        <x:v>6.276041666666667</x:v>
      </x:c>
      <x:c r="H10" s="642"/>
      <x:c r="I10" s="661" t="n">
        <x:v>0.5</x:v>
      </x:c>
      <x:c r="J10" s="333" t="n">
        <x:f>Calculations!E19+'Scenario Inputs'!$B$5*'Scenario Inputs'!$E$23*$I10+Calculations!E22+Calculations!E23+Calculations!E28+Calculations!E29</x:f>
        <x:v>6531</x:v>
      </x:c>
      <x:c r="K10" s="334" t="n">
        <x:f>J10/Calculations!E8</x:f>
        <x:v>6.803125</x:v>
      </x:c>
    </x:row>
    <x:row r="11">
      <x:c r="A11" s="669" t="n">
        <x:v>0.96</x:v>
      </x:c>
      <x:c r="B11" s="670" t="n">
        <x:f>((('Scenario Inputs'!$B$5*$A11-'Scenario Inputs'!$B$5*MIN('Scenario Inputs'!$E$16,$A11))*'Scenario Inputs'!$E$17/60+('Scenario Inputs'!$B$5*MIN('Scenario Inputs'!$E$16,$A11))*'Scenario Inputs'!$E$18*'Scenario Inputs'!$E$19/60+('Scenario Inputs'!$B$5*'Scenario Inputs'!$E$20)*'Scenario Inputs'!$E$21/60+('Scenario Inputs'!$B$5-'Scenario Inputs'!$B$5*$A11)*'Scenario Inputs'!$E$22/60)*'Scenario Inputs'!$B$7+'Scenario Inputs'!$B$5*'Scenario Inputs'!$E$23*'Scenario Inputs'!$E$24+'Scenario Inputs'!$B$5*'Scenario Inputs'!$E$25+'Scenario Inputs'!$B$5*'Scenario Inputs'!$E$26+SUM('Scenario Inputs'!$E$27:$E$29)+('Scenario Inputs'!$B$5-'Scenario Inputs'!$B$5*$A11)*'Scenario Inputs'!$B$11)</x:f>
        <x:v>5931</x:v>
      </x:c>
      <x:c r="C11" s="671" t="n">
        <x:f>B11/('Scenario Inputs'!$B$5*$A11)</x:f>
        <x:v>6.178125</x:v>
      </x:c>
      <x:c r="D11" s="642"/>
      <x:c r="E11" s="669" t="n">
        <x:v>0.72</x:v>
      </x:c>
      <x:c r="F11" s="670" t="n">
        <x:f>((('Scenario Inputs'!$B$5*'Scenario Inputs'!$E$15-'Scenario Inputs'!$B$5*MIN($E11,'Scenario Inputs'!$E$15))*'Scenario Inputs'!$E$17/60+('Scenario Inputs'!$B$5*MIN($E11,'Scenario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5931</x:v>
      </x:c>
      <x:c r="G11" s="671" t="n">
        <x:f>F11/('Scenario Inputs'!$B$5*'Scenario Inputs'!$E$15)</x:f>
        <x:v>6.178125</x:v>
      </x:c>
      <x:c r="H11" s="642"/>
      <x:c r="I11" s="661" t="n">
        <x:v>1</x:v>
      </x:c>
      <x:c r="J11" s="333" t="n">
        <x:f>Calculations!E19+'Scenario Inputs'!$B$5*'Scenario Inputs'!$E$23*$I11+Calculations!E22+Calculations!E23+Calculations!E28+Calculations!E29</x:f>
        <x:v>7281</x:v>
      </x:c>
      <x:c r="K11" s="334" t="n">
        <x:f>J11/Calculations!E8</x:f>
        <x:v>7.584375</x:v>
      </x:c>
    </x:row>
    <x:row r="12">
      <x:c r="A12" s="657" t="n">
        <x:v>0.98</x:v>
      </x:c>
      <x:c r="B12" s="333" t="n">
        <x:f>((('Scenario Inputs'!$B$5*$A12-'Scenario Inputs'!$B$5*MIN('Scenario Inputs'!$E$16,$A12))*'Scenario Inputs'!$E$17/60+('Scenario Inputs'!$B$5*MIN('Scenario Inputs'!$E$16,$A12))*'Scenario Inputs'!$E$18*'Scenario Inputs'!$E$19/60+('Scenario Inputs'!$B$5*'Scenario Inputs'!$E$20)*'Scenario Inputs'!$E$21/60+('Scenario Inputs'!$B$5-'Scenario Inputs'!$B$5*$A12)*'Scenario Inputs'!$E$22/60)*'Scenario Inputs'!$B$7+'Scenario Inputs'!$B$5*'Scenario Inputs'!$E$23*'Scenario Inputs'!$E$24+'Scenario Inputs'!$B$5*'Scenario Inputs'!$E$25+'Scenario Inputs'!$B$5*'Scenario Inputs'!$E$26+SUM('Scenario Inputs'!$E$27:$E$29)+('Scenario Inputs'!$B$5-'Scenario Inputs'!$B$5*$A12)*'Scenario Inputs'!$B$11)</x:f>
        <x:v>5391</x:v>
      </x:c>
      <x:c r="C12" s="334" t="n">
        <x:f>B12/('Scenario Inputs'!$B$5*$A12)</x:f>
        <x:v>5.501020408163265</x:v>
      </x:c>
      <x:c r="D12" s="642"/>
      <x:c r="E12" s="657" t="n">
        <x:v>0.8</x:v>
      </x:c>
      <x:c r="F12" s="333" t="n">
        <x:f>((('Scenario Inputs'!$B$5*'Scenario Inputs'!$E$15-'Scenario Inputs'!$B$5*MIN($E12,'Scenario Inputs'!$E$15))*'Scenario Inputs'!$E$17/60+('Scenario Inputs'!$B$5*MIN($E12,'Scenario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5555</x:v>
      </x:c>
      <x:c r="G12" s="334" t="n">
        <x:f>F12/('Scenario Inputs'!$B$5*'Scenario Inputs'!$E$15)</x:f>
        <x:v>5.786458333333333</x:v>
      </x:c>
      <x:c r="H12" s="642"/>
      <x:c r="I12" s="661" t="n">
        <x:v>2</x:v>
      </x:c>
      <x:c r="J12" s="333" t="n">
        <x:f>Calculations!E19+'Scenario Inputs'!$B$5*'Scenario Inputs'!$E$23*$I12+Calculations!E22+Calculations!E23+Calculations!E28+Calculations!E29</x:f>
        <x:v>8781</x:v>
      </x:c>
      <x:c r="K12" s="334" t="n">
        <x:f>J12/Calculations!E8</x:f>
        <x:v>9.146875</x:v>
      </x:c>
    </x:row>
    <x:row r="13">
      <x:c r="A13" s="658" t="n">
        <x:v>0.99</x:v>
      </x:c>
      <x:c r="B13" s="665" t="n">
        <x:f>((('Scenario Inputs'!$B$5*$A13-'Scenario Inputs'!$B$5*MIN('Scenario Inputs'!$E$16,$A13))*'Scenario Inputs'!$E$17/60+('Scenario Inputs'!$B$5*MIN('Scenario Inputs'!$E$16,$A13))*'Scenario Inputs'!$E$18*'Scenario Inputs'!$E$19/60+('Scenario Inputs'!$B$5*'Scenario Inputs'!$E$20)*'Scenario Inputs'!$E$21/60+('Scenario Inputs'!$B$5-'Scenario Inputs'!$B$5*$A13)*'Scenario Inputs'!$E$22/60)*'Scenario Inputs'!$B$7+'Scenario Inputs'!$B$5*'Scenario Inputs'!$E$23*'Scenario Inputs'!$E$24+'Scenario Inputs'!$B$5*'Scenario Inputs'!$E$25+'Scenario Inputs'!$B$5*'Scenario Inputs'!$E$26+SUM('Scenario Inputs'!$E$27:$E$29)+('Scenario Inputs'!$B$5-'Scenario Inputs'!$B$5*$A13)*'Scenario Inputs'!$B$11)</x:f>
        <x:v>5121</x:v>
      </x:c>
      <x:c r="C13" s="666" t="n">
        <x:f>B13/('Scenario Inputs'!$B$5*$A13)</x:f>
        <x:v>5.172727272727273</x:v>
      </x:c>
      <x:c r="D13" s="642"/>
      <x:c r="E13" s="658" t="n">
        <x:v>0.9</x:v>
      </x:c>
      <x:c r="F13" s="665" t="n">
        <x:f>((('Scenario Inputs'!$B$5*'Scenario Inputs'!$E$15-'Scenario Inputs'!$B$5*MIN($E13,'Scenario Inputs'!$E$15))*'Scenario Inputs'!$E$17/60+('Scenario Inputs'!$B$5*MIN($E13,'Scenario Inputs'!$E$15))*'Scenario Inputs'!$E$18*'Scenario Inputs'!$E$19/60+('Scenario Inputs'!$B$5*'Scenario Inputs'!$E$20)*'Scenario Inputs'!$E$21/60+('Scenario Inputs'!$B$5-'Scenario Inputs'!$B$5*'Scenario Inputs'!$E$15)*'Scenario Inputs'!$E$22/60)*'Scenario Inputs'!$B$7+'Scenario Inputs'!$B$5*'Scenario Inputs'!$E$23*'Scenario Inputs'!$E$24+'Scenario Inputs'!$B$5*'Scenario Inputs'!$E$25+'Scenario Inputs'!$B$5*'Scenario Inputs'!$E$26+SUM('Scenario Inputs'!$E$27:$E$29)+('Scenario Inputs'!$B$5-'Scenario Inputs'!$B$5*'Scenario Inputs'!$E$15)*'Scenario Inputs'!$B$11)</x:f>
        <x:v>5085</x:v>
      </x:c>
      <x:c r="G13" s="666" t="n">
        <x:f>F13/('Scenario Inputs'!$B$5*'Scenario Inputs'!$E$15)</x:f>
        <x:v>5.296875</x:v>
      </x:c>
      <x:c r="H13" s="642"/>
      <x:c r="I13" s="662" t="n">
        <x:v>5</x:v>
      </x:c>
      <x:c r="J13" s="665" t="n">
        <x:f>Calculations!E19+'Scenario Inputs'!$B$5*'Scenario Inputs'!$E$23*$I13+Calculations!E22+Calculations!E23+Calculations!E28+Calculations!E29</x:f>
        <x:v>13281</x:v>
      </x:c>
      <x:c r="K13" s="666" t="n">
        <x:f>J13/Calculations!E8</x:f>
        <x:v>13.834375</x:v>
      </x:c>
    </x:row>
  </x:sheetData>
  <x:mergeCells>
    <x:mergeCell ref="A1:K2"/>
    <x:mergeCell ref="A3:K3"/>
  </x:mergeCells>
  <x:pageMargins left="0.7" right="0.7" top="0.75" bottom="0.75" header="0.3" footer="0.3"/>
  <x:drawing xmlns:r="http://schemas.openxmlformats.org/officeDocument/2006/relationships" r:id="Rce80490d4478415d"/>
</x:worksheet>
</file>

<file path=xl/worksheets/sheet5.xml><?xml version="1.0" encoding="utf-8"?>
<x:worksheet xmlns:x="http://schemas.openxmlformats.org/spreadsheetml/2006/main">
  <x:sheetFormatPr defaultRowHeight="15"/>
  <x:cols>
    <x:col min="1" max="1" width="18" hidden="0" customWidth="1"/>
    <x:col min="2" max="2" width="42" hidden="0" customWidth="1"/>
    <x:col min="3" max="3" width="55" hidden="0" customWidth="1"/>
    <x:col min="4" max="4" width="3" hidden="0" customWidth="1"/>
    <x:col min="5" max="5" width="3" hidden="0" customWidth="1"/>
    <x:col min="6" max="6" width="3" hidden="0" customWidth="1"/>
  </x:cols>
  <x:sheetData>
    <x:row r="1">
      <x:c r="A1" s="5" t="str">
        <x:v>Methodology and Operating Definitions</x:v>
      </x:c>
      <x:c r="B1" s="5"/>
      <x:c r="C1" s="5"/>
      <x:c r="D1" s="5"/>
      <x:c r="E1" s="5"/>
      <x:c r="F1" s="5"/>
    </x:row>
    <x:row r="2">
      <x:c r="A2" s="5"/>
      <x:c r="B2" s="5"/>
      <x:c r="C2" s="5"/>
      <x:c r="D2" s="5"/>
      <x:c r="E2" s="5"/>
      <x:c r="F2" s="5"/>
    </x:row>
    <x:row r="4">
      <x:c r="A4" s="12" t="str">
        <x:v>How to use the calculator</x:v>
      </x:c>
      <x:c r="B4" s="12"/>
      <x:c r="C4" s="12"/>
      <x:c r="D4" s="12"/>
      <x:c r="E4" s="12"/>
      <x:c r="F4" s="12"/>
    </x:row>
    <x:row r="5">
      <x:c r="A5" s="599" t="str">
        <x:v>Step</x:v>
      </x:c>
      <x:c r="B5" s="600" t="str">
        <x:v>Action</x:v>
      </x:c>
      <x:c r="C5" s="601" t="str">
        <x:v>Why it matters</x:v>
      </x:c>
      <x:c r="D5" t="str"/>
      <x:c r="E5" t="str"/>
      <x:c r="F5" t="str"/>
    </x:row>
    <x:row r="6">
      <x:c r="A6" s="685" t="n">
        <x:v>1</x:v>
      </x:c>
      <x:c r="B6" s="682" t="str">
        <x:v>Replace the blue-font assumptions with observed data.</x:v>
      </x:c>
      <x:c r="C6" s="686" t="str">
        <x:v>Illustrative defaults are not benchmarks.</x:v>
      </x:c>
      <x:c r="D6" t="str"/>
      <x:c r="E6" t="str"/>
      <x:c r="F6" t="str"/>
    </x:row>
    <x:row r="7">
      <x:c r="A7" s="685" t="n">
        <x:v>2</x:v>
      </x:c>
      <x:c r="B7" s="682" t="str">
        <x:v>Define a successful outcome at business-task level.</x:v>
      </x:c>
      <x:c r="C7" s="686" t="str">
        <x:v>A returned answer is not necessarily a completed task.</x:v>
      </x:c>
      <x:c r="D7" t="str"/>
      <x:c r="E7" t="str"/>
      <x:c r="F7" t="str"/>
    </x:row>
    <x:row r="8">
      <x:c r="A8" s="685" t="n">
        <x:v>3</x:v>
      </x:c>
      <x:c r="B8" s="682" t="str">
        <x:v>Measure human time from work logs or sampled observation.</x:v>
      </x:c>
      <x:c r="C8" s="686" t="str">
        <x:v>Estimated supervision is often understated.</x:v>
      </x:c>
      <x:c r="D8" t="str"/>
      <x:c r="E8" t="str"/>
      <x:c r="F8" t="str"/>
    </x:row>
    <x:row r="9">
      <x:c r="A9" s="685" t="n">
        <x:v>4</x:v>
      </x:c>
      <x:c r="B9" s="682" t="str">
        <x:v>Assign failure impact by task class.</x:v>
      </x:c>
      <x:c r="C9" s="686" t="str">
        <x:v>A harmless formatting issue and an incorrect business action are not equivalent.</x:v>
      </x:c>
      <x:c r="D9" t="str"/>
      <x:c r="E9" t="str"/>
      <x:c r="F9" t="str"/>
    </x:row>
    <x:row r="10">
      <x:c r="A10" s="687" t="n">
        <x:v>5</x:v>
      </x:c>
      <x:c r="B10" s="688" t="str">
        <x:v>Compare versions on the same representative workload.</x:v>
      </x:c>
      <x:c r="C10" s="689" t="str">
        <x:v>Unit economics are only comparable when demand and success definitions are held constant.</x:v>
      </x:c>
      <x:c r="D10" t="str"/>
      <x:c r="E10" t="str"/>
      <x:c r="F10" t="str"/>
    </x:row>
    <x:row r="12">
      <x:c r="A12" s="12" t="str">
        <x:v>Core formulas</x:v>
      </x:c>
      <x:c r="B12" s="12"/>
      <x:c r="C12" s="12"/>
      <x:c r="D12" s="12"/>
      <x:c r="E12" s="12"/>
      <x:c r="F12" s="12"/>
    </x:row>
    <x:row r="13">
      <x:c r="A13" s="599" t="str">
        <x:v>Metric</x:v>
      </x:c>
      <x:c r="B13" s="600" t="str">
        <x:v>Formula</x:v>
      </x:c>
      <x:c r="C13" s="601" t="str">
        <x:v>Interpretation</x:v>
      </x:c>
      <x:c r="D13" t="str"/>
      <x:c r="E13" t="str"/>
      <x:c r="F13" t="str"/>
    </x:row>
    <x:row r="14">
      <x:c r="A14" s="59" t="str">
        <x:v>Successful outcomes</x:v>
      </x:c>
      <x:c r="B14" s="682" t="str">
        <x:v>Monthly tasks × end-to-end success rate</x:v>
      </x:c>
      <x:c r="C14" s="686" t="str">
        <x:v>Tasks completed correctly to the agreed business standard.</x:v>
      </x:c>
      <x:c r="D14" t="str"/>
      <x:c r="E14" t="str"/>
      <x:c r="F14" t="str"/>
    </x:row>
    <x:row r="15">
      <x:c r="A15" s="59" t="str">
        <x:v>Total monthly cost</x:v>
      </x:c>
      <x:c r="B15" s="682" t="str">
        <x:v>Human labor + variable technology + fixed technology + failure impact</x:v>
      </x:c>
      <x:c r="C15" s="686" t="str">
        <x:v>The complete economic burden of operating the workflow.</x:v>
      </x:c>
      <x:c r="D15" t="str"/>
      <x:c r="E15" t="str"/>
      <x:c r="F15" t="str"/>
    </x:row>
    <x:row r="16">
      <x:c r="A16" s="59" t="str">
        <x:v>Cost per successful outcome</x:v>
      </x:c>
      <x:c r="B16" s="682" t="str">
        <x:v>Total monthly cost ÷ successful outcomes</x:v>
      </x:c>
      <x:c r="C16" s="686" t="str">
        <x:v>The central unit-economics metric used in the article.</x:v>
      </x:c>
      <x:c r="D16" t="str"/>
      <x:c r="E16" t="str"/>
      <x:c r="F16" t="str"/>
    </x:row>
    <x:row r="17">
      <x:c r="A17" s="59" t="str">
        <x:v>Value created</x:v>
      </x:c>
      <x:c r="B17" s="682" t="str">
        <x:v>Successful outcomes × business value per successful outcome</x:v>
      </x:c>
      <x:c r="C17" s="686" t="str">
        <x:v>Gross value before deducting the cost of the agent.</x:v>
      </x:c>
      <x:c r="D17" t="str"/>
      <x:c r="E17" t="str"/>
      <x:c r="F17" t="str"/>
    </x:row>
    <x:row r="18">
      <x:c r="A18" s="59" t="str">
        <x:v>Net monthly value</x:v>
      </x:c>
      <x:c r="B18" s="682" t="str">
        <x:v>Value created − total monthly cost</x:v>
      </x:c>
      <x:c r="C18" s="686" t="str">
        <x:v>Economic contribution after all modeled costs.</x:v>
      </x:c>
      <x:c r="D18" t="str"/>
      <x:c r="E18" t="str"/>
      <x:c r="F18" t="str"/>
    </x:row>
    <x:row r="19">
      <x:c r="A19" s="59" t="str">
        <x:v>ROI</x:v>
      </x:c>
      <x:c r="B19" s="682" t="str">
        <x:v>Net monthly value ÷ total monthly cost</x:v>
      </x:c>
      <x:c r="C19" s="686" t="str">
        <x:v>Return relative to the monthly operating investment.</x:v>
      </x:c>
      <x:c r="D19" t="str"/>
      <x:c r="E19" t="str"/>
      <x:c r="F19" t="str"/>
    </x:row>
    <x:row r="20">
      <x:c r="A20" s="61" t="str">
        <x:v>Human-touch rate</x:v>
      </x:c>
      <x:c r="B20" s="688" t="str">
        <x:v>(assisted successes + QA reviews + failed tasks) ÷ tasks</x:v>
      </x:c>
      <x:c r="C20" s="689" t="str">
        <x:v>Operational contact rate; rework is tracked separately to avoid ambiguous double-counting.</x:v>
      </x:c>
      <x:c r="D20" t="str"/>
      <x:c r="E20" t="str"/>
      <x:c r="F20" t="str"/>
    </x:row>
    <x:row r="22">
      <x:c r="A22" s="12" t="str">
        <x:v>Decision thresholds used in the workbook</x:v>
      </x:c>
      <x:c r="B22" s="12"/>
      <x:c r="C22" s="12"/>
      <x:c r="D22" s="12"/>
      <x:c r="E22" s="12"/>
      <x:c r="F22" s="12"/>
    </x:row>
    <x:row r="23">
      <x:c r="A23" s="599" t="str">
        <x:v>Decision</x:v>
      </x:c>
      <x:c r="B23" s="600" t="str">
        <x:v>Default rule</x:v>
      </x:c>
      <x:c r="C23" s="601" t="str">
        <x:v>Meaning</x:v>
      </x:c>
      <x:c r="D23" t="str"/>
      <x:c r="E23" t="str"/>
      <x:c r="F23" t="str"/>
    </x:row>
    <x:row r="24">
      <x:c r="A24" s="695" t="str">
        <x:v>SCALE</x:v>
      </x:c>
      <x:c r="B24" s="696" t="str">
        <x:v>ROI ≥ 50%</x:v>
      </x:c>
      <x:c r="C24" s="697" t="str">
        <x:v>The modeled unit economics support wider deployment, subject to risk and capacity controls.</x:v>
      </x:c>
      <x:c r="D24" t="str"/>
      <x:c r="E24" t="str"/>
      <x:c r="F24" t="str"/>
    </x:row>
    <x:row r="25">
      <x:c r="A25" s="701" t="str">
        <x:v>OPTIMIZE</x:v>
      </x:c>
      <x:c r="B25" s="702" t="str">
        <x:v>0% ≤ ROI &lt; 50%</x:v>
      </x:c>
      <x:c r="C25" s="703" t="str">
        <x:v>The agent creates value but still has material improvement opportunities.</x:v>
      </x:c>
      <x:c r="D25" t="str"/>
      <x:c r="E25" t="str"/>
      <x:c r="F25" t="str"/>
    </x:row>
    <x:row r="26">
      <x:c r="A26" s="707" t="str">
        <x:v>RETIRE</x:v>
      </x:c>
      <x:c r="B26" s="708" t="str">
        <x:v>ROI &lt; 0%</x:v>
      </x:c>
      <x:c r="C26" s="709" t="str">
        <x:v>The modeled cost exceeds the value produced; narrow, redesign, or stop the agent.</x:v>
      </x:c>
      <x:c r="D26" t="str"/>
      <x:c r="E26" t="str"/>
      <x:c r="F26" t="str"/>
    </x:row>
    <x:row r="28">
      <x:c r="A28" s="732" t="str">
        <x:v>Model caveats: success, autonomy, quality sampling, rework, and failure impact must be defined consistently. The model is designed for scenario comparison and governance conversations, not as an accounting system. Avoid counting the same benefit twice—for example, do not include both labor savings and the full value of an outcome when the outcome value already represents those labor savings.</x:v>
      </x:c>
      <x:c r="B28" s="733"/>
      <x:c r="C28" s="733"/>
      <x:c r="D28" s="733"/>
      <x:c r="E28" s="733"/>
      <x:c r="F28" s="734"/>
    </x:row>
    <x:row r="29">
      <x:c r="A29" s="735"/>
      <x:c r="B29" s="736"/>
      <x:c r="C29" s="736"/>
      <x:c r="D29" s="736"/>
      <x:c r="E29" s="736"/>
      <x:c r="F29" s="737"/>
    </x:row>
    <x:row r="30">
      <x:c r="A30" s="735"/>
      <x:c r="B30" s="736"/>
      <x:c r="C30" s="736"/>
      <x:c r="D30" s="736"/>
      <x:c r="E30" s="736"/>
      <x:c r="F30" s="737"/>
    </x:row>
    <x:row r="31">
      <x:c r="A31" s="738"/>
      <x:c r="B31" s="739"/>
      <x:c r="C31" s="739"/>
      <x:c r="D31" s="739"/>
      <x:c r="E31" s="739"/>
      <x:c r="F31" s="740"/>
    </x:row>
  </x:sheetData>
  <x:mergeCells>
    <x:mergeCell ref="A1:F2"/>
    <x:mergeCell ref="A4:F4"/>
    <x:mergeCell ref="A12:F12"/>
    <x:mergeCell ref="A22:F22"/>
    <x:mergeCell ref="A28:F31"/>
  </x:mergeCells>
  <x:pageMargins left="0.7" right="0.7" top="0.75" bottom="0.75" header="0.3" footer="0.3"/>
</x:worksheet>
</file>

<file path=xl/worksheets/sheet6.xml><?xml version="1.0" encoding="utf-8"?>
<x:worksheet xmlns:x="http://schemas.openxmlformats.org/spreadsheetml/2006/main">
  <x:sheetFormatPr defaultRowHeight="15"/>
  <x:cols>
    <x:col min="1" max="1" width="38" hidden="0" customWidth="1"/>
    <x:col min="2" max="2" width="20" hidden="0" customWidth="1"/>
    <x:col min="3" max="3" width="55" hidden="0" customWidth="1"/>
    <x:col min="4" max="4" width="75" hidden="0" customWidth="1"/>
  </x:cols>
  <x:sheetData>
    <x:row r="1">
      <x:c r="A1" s="5" t="str">
        <x:v>Sources and Further Reading</x:v>
      </x:c>
      <x:c r="B1" s="5"/>
      <x:c r="C1" s="5"/>
      <x:c r="D1" s="5"/>
    </x:row>
    <x:row r="2">
      <x:c r="A2" s="5"/>
      <x:c r="B2" s="5"/>
      <x:c r="C2" s="5"/>
      <x:c r="D2" s="5"/>
    </x:row>
    <x:row r="4">
      <x:c r="A4" s="20" t="str">
        <x:v>Source</x:v>
      </x:c>
      <x:c r="B4" s="20" t="str">
        <x:v>Publisher</x:v>
      </x:c>
      <x:c r="C4" s="20" t="str">
        <x:v>Relevance</x:v>
      </x:c>
      <x:c r="D4" s="20" t="str">
        <x:v>URL</x:v>
      </x:c>
    </x:row>
    <x:row r="5">
      <x:c r="A5" s="777" t="str">
        <x:v>Introducing ROI for agents in Foundry</x:v>
      </x:c>
      <x:c r="B5" s="778" t="str">
        <x:v>Microsoft</x:v>
      </x:c>
      <x:c r="C5" s="779" t="str">
        <x:v>Connects agent operating cost, business-value evaluations, task outcomes, net value, and ROI.</x:v>
      </x:c>
      <x:c r="D5" s="802" t="str">
        <x:v>https://techcommunity.microsoft.com/blog/azure-ai-foundry-blog/introducing-roi-for-agents-in-foundry/4531970</x:v>
      </x:c>
    </x:row>
    <x:row r="6">
      <x:c r="A6" s="780" t="str">
        <x:v>Observability in Generative AI</x:v>
      </x:c>
      <x:c r="B6" s="682" t="str">
        <x:v>Microsoft Learn</x:v>
      </x:c>
      <x:c r="C6" s="686" t="str">
        <x:v>Documents evaluation, monitoring, token consumption, latency, errors, quality scores, and tracing.</x:v>
      </x:c>
      <x:c r="D6" s="803" t="str">
        <x:v>https://learn.microsoft.com/en-us/azure/foundry/concepts/observability</x:v>
      </x:c>
    </x:row>
    <x:row r="7">
      <x:c r="A7" s="780" t="str">
        <x:v>Monitor agents with the Agent Monitoring Dashboard</x:v>
      </x:c>
      <x:c r="B7" s="682" t="str">
        <x:v>Microsoft Learn</x:v>
      </x:c>
      <x:c r="C7" s="686" t="str">
        <x:v>Describes production metrics including token usage, latency, run success rate, and evaluation outcomes.</x:v>
      </x:c>
      <x:c r="D7" s="803" t="str">
        <x:v>https://learn.microsoft.com/en-us/azure/foundry/observability/how-to/how-to-monitor-agents-dashboard</x:v>
      </x:c>
    </x:row>
    <x:row r="8">
      <x:c r="A8" s="780" t="str">
        <x:v>Use agents on Databricks</x:v>
      </x:c>
      <x:c r="B8" s="682" t="str">
        <x:v>Databricks</x:v>
      </x:c>
      <x:c r="C8" s="686" t="str">
        <x:v>Frames agent optimization around quality, cost, latency, tracing, monitoring, and expert feedback.</x:v>
      </x:c>
      <x:c r="D8" s="803" t="str">
        <x:v>https://docs.databricks.com/aws/en/agents/custom-agents/build-agents</x:v>
      </x:c>
    </x:row>
    <x:row r="9">
      <x:c r="A9" s="780" t="str">
        <x:v>MLflow 3 for GenAI</x:v>
      </x:c>
      <x:c r="B9" s="682" t="str">
        <x:v>Databricks</x:v>
      </x:c>
      <x:c r="C9" s="686" t="str">
        <x:v>Covers tracing, human feedback, evaluators, version tracking, and production monitoring for agents.</x:v>
      </x:c>
      <x:c r="D9" s="803" t="str">
        <x:v>https://docs.databricks.com/aws/en/mlflow3/genai/</x:v>
      </x:c>
    </x:row>
    <x:row r="10">
      <x:c r="A10" s="781" t="str">
        <x:v>The Real Barrier to LLM Agent Usability is Agentic ROI</x:v>
      </x:c>
      <x:c r="B10" s="688" t="str">
        <x:v>arXiv research paper</x:v>
      </x:c>
      <x:c r="C10" s="689" t="str">
        <x:v>Argues for evaluating agents through utility and return on investment rather than model performance alone.</x:v>
      </x:c>
      <x:c r="D10" s="804" t="str">
        <x:v>https://arxiv.org/abs/2505.17767</x:v>
      </x:c>
    </x:row>
    <x:row r="12">
      <x:c r="A12" s="51" t="str">
        <x:v>Accessed 29 July 2026. Platform features and preview status can change; verify current documentation before using the workbook for a formal investment decision.</x:v>
      </x:c>
      <x:c r="B12" s="51"/>
      <x:c r="C12" s="51"/>
      <x:c r="D12" s="51"/>
    </x:row>
    <x:row r="13">
      <x:c r="A13" s="51"/>
      <x:c r="B13" s="51"/>
      <x:c r="C13" s="51"/>
      <x:c r="D13" s="51"/>
    </x:row>
  </x:sheetData>
  <x:mergeCells>
    <x:mergeCell ref="A1:D2"/>
    <x:mergeCell ref="A12:D13"/>
  </x:mergeCells>
  <x:pageMargins left="0.7" right="0.7" top="0.75" bottom="0.75" header="0.3" footer="0.3"/>
</x:worksheet>
</file>